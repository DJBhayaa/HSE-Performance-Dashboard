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MUDBHARI\Downloads\"/>
    </mc:Choice>
  </mc:AlternateContent>
  <xr:revisionPtr revIDLastSave="0" documentId="13_ncr:1_{86E25B09-0F0C-4346-B88C-71065A7FBE90}" xr6:coauthVersionLast="47" xr6:coauthVersionMax="47" xr10:uidLastSave="{00000000-0000-0000-0000-000000000000}"/>
  <bookViews>
    <workbookView xWindow="-120" yWindow="-120" windowWidth="29040" windowHeight="15720" tabRatio="500" xr2:uid="{00000000-000D-0000-FFFF-FFFF00000000}"/>
  </bookViews>
  <sheets>
    <sheet name="Main Data" sheetId="4" r:id="rId1"/>
    <sheet name="H&amp;S" sheetId="5" r:id="rId2"/>
    <sheet name="Raw Data" sheetId="6" r:id="rId3"/>
    <sheet name="Accident logs" sheetId="1" r:id="rId4"/>
    <sheet name="Leadership Inspection 2026" sheetId="10" r:id="rId5"/>
    <sheet name="Violations" sheetId="12" r:id="rId6"/>
    <sheet name="KPI Data" sheetId="8" state="hidden" r:id="rId7"/>
    <sheet name="Lists" sheetId="9" state="hidden" r:id="rId8"/>
  </sheets>
  <externalReferences>
    <externalReference r:id="rId9"/>
  </externalReferences>
  <definedNames>
    <definedName name="Classification">[1]Lists!$J$2:$J$4</definedName>
    <definedName name="Companies">[1]Lists!$B$2:$B$19</definedName>
    <definedName name="Disciplinary">[1]Lists!$F$2:$F$7</definedName>
    <definedName name="IncidentCategory">[1]Lists!$I$2:$I$4</definedName>
    <definedName name="Locations">[1]Lists!$C$2:$C$6</definedName>
    <definedName name="Population">[1]Lists!$L$2:$L$3</definedName>
    <definedName name="ReportedBy">[1]Lists!$M$2:$M$15</definedName>
    <definedName name="Severity">[1]Lists!$K$2:$K$4</definedName>
    <definedName name="Status">[1]Lists!$G$2:$G$3</definedName>
    <definedName name="TrainingCourse">[1]Lists!$O$2:$O$15</definedName>
    <definedName name="TrainingType">[1]Lists!$P$2:$P$3</definedName>
    <definedName name="VioCategory">[1]Lists!$D$2:$D$4</definedName>
    <definedName name="VioType">[1]Lists!$E$2:$E$19</definedName>
    <definedName name="YesNo">[1]Lists!$H$2:$H$3</definedName>
    <definedName name="ZoneMetric">[1]Lists!$N$2:$N$15</definedName>
    <definedName name="Zones">[1]Lists!$A$2:$A$4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2" i="5" l="1"/>
  <c r="L12" i="5"/>
  <c r="K12" i="5"/>
  <c r="J12" i="5"/>
  <c r="I12" i="5"/>
  <c r="H12" i="5"/>
  <c r="G12" i="5"/>
  <c r="F12" i="5"/>
  <c r="E12" i="5"/>
  <c r="D12" i="5"/>
  <c r="C12" i="5"/>
  <c r="B12" i="5"/>
  <c r="P21" i="4"/>
  <c r="I250" i="12"/>
  <c r="D250" i="12"/>
  <c r="C250" i="12"/>
  <c r="A250" i="12"/>
  <c r="I249" i="12"/>
  <c r="D249" i="12"/>
  <c r="C249" i="12"/>
  <c r="A249" i="12"/>
  <c r="I248" i="12"/>
  <c r="D248" i="12"/>
  <c r="C248" i="12"/>
  <c r="A248" i="12"/>
  <c r="I247" i="12"/>
  <c r="D247" i="12"/>
  <c r="C247" i="12"/>
  <c r="A247" i="12"/>
  <c r="I246" i="12"/>
  <c r="D246" i="12"/>
  <c r="C246" i="12"/>
  <c r="A246" i="12"/>
  <c r="I245" i="12"/>
  <c r="D245" i="12"/>
  <c r="C245" i="12"/>
  <c r="A245" i="12"/>
  <c r="I244" i="12"/>
  <c r="D244" i="12"/>
  <c r="C244" i="12"/>
  <c r="A244" i="12"/>
  <c r="I243" i="12"/>
  <c r="D243" i="12"/>
  <c r="C243" i="12"/>
  <c r="A243" i="12"/>
  <c r="I242" i="12"/>
  <c r="D242" i="12"/>
  <c r="C242" i="12"/>
  <c r="A242" i="12"/>
  <c r="I241" i="12"/>
  <c r="D241" i="12"/>
  <c r="C241" i="12"/>
  <c r="A241" i="12"/>
  <c r="I240" i="12"/>
  <c r="D240" i="12"/>
  <c r="C240" i="12"/>
  <c r="A240" i="12"/>
  <c r="I239" i="12"/>
  <c r="D239" i="12"/>
  <c r="C239" i="12"/>
  <c r="A239" i="12"/>
  <c r="I238" i="12"/>
  <c r="D238" i="12"/>
  <c r="C238" i="12"/>
  <c r="A238" i="12"/>
  <c r="I237" i="12"/>
  <c r="D237" i="12"/>
  <c r="C237" i="12"/>
  <c r="A237" i="12"/>
  <c r="I236" i="12"/>
  <c r="D236" i="12"/>
  <c r="C236" i="12"/>
  <c r="A236" i="12"/>
  <c r="I235" i="12"/>
  <c r="D235" i="12"/>
  <c r="C235" i="12"/>
  <c r="A235" i="12"/>
  <c r="I234" i="12"/>
  <c r="D234" i="12"/>
  <c r="C234" i="12"/>
  <c r="A234" i="12"/>
  <c r="I233" i="12"/>
  <c r="D233" i="12"/>
  <c r="C233" i="12"/>
  <c r="A233" i="12"/>
  <c r="I232" i="12"/>
  <c r="D232" i="12"/>
  <c r="C232" i="12"/>
  <c r="A232" i="12"/>
  <c r="I231" i="12"/>
  <c r="D231" i="12"/>
  <c r="C231" i="12"/>
  <c r="A231" i="12"/>
  <c r="I230" i="12"/>
  <c r="D230" i="12"/>
  <c r="C230" i="12"/>
  <c r="A230" i="12"/>
  <c r="I229" i="12"/>
  <c r="D229" i="12"/>
  <c r="C229" i="12"/>
  <c r="A229" i="12"/>
  <c r="I228" i="12"/>
  <c r="D228" i="12"/>
  <c r="C228" i="12"/>
  <c r="A228" i="12"/>
  <c r="I227" i="12"/>
  <c r="D227" i="12"/>
  <c r="C227" i="12"/>
  <c r="A227" i="12"/>
  <c r="I226" i="12"/>
  <c r="D226" i="12"/>
  <c r="C226" i="12"/>
  <c r="A226" i="12"/>
  <c r="I225" i="12"/>
  <c r="D225" i="12"/>
  <c r="C225" i="12"/>
  <c r="A225" i="12"/>
  <c r="I224" i="12"/>
  <c r="D224" i="12"/>
  <c r="C224" i="12"/>
  <c r="A224" i="12"/>
  <c r="I223" i="12"/>
  <c r="D223" i="12"/>
  <c r="C223" i="12"/>
  <c r="A223" i="12"/>
  <c r="I222" i="12"/>
  <c r="D222" i="12"/>
  <c r="C222" i="12"/>
  <c r="A222" i="12"/>
  <c r="I221" i="12"/>
  <c r="D221" i="12"/>
  <c r="C221" i="12"/>
  <c r="A221" i="12"/>
  <c r="I220" i="12"/>
  <c r="D220" i="12"/>
  <c r="C220" i="12"/>
  <c r="A220" i="12"/>
  <c r="I219" i="12"/>
  <c r="D219" i="12"/>
  <c r="C219" i="12"/>
  <c r="A219" i="12"/>
  <c r="I218" i="12"/>
  <c r="D218" i="12"/>
  <c r="C218" i="12"/>
  <c r="A218" i="12"/>
  <c r="I217" i="12"/>
  <c r="D217" i="12"/>
  <c r="C217" i="12"/>
  <c r="A217" i="12"/>
  <c r="I216" i="12"/>
  <c r="D216" i="12"/>
  <c r="C216" i="12"/>
  <c r="A216" i="12"/>
  <c r="I215" i="12"/>
  <c r="D215" i="12"/>
  <c r="C215" i="12"/>
  <c r="A215" i="12"/>
  <c r="I214" i="12"/>
  <c r="D214" i="12"/>
  <c r="C214" i="12"/>
  <c r="A214" i="12"/>
  <c r="I213" i="12"/>
  <c r="D213" i="12"/>
  <c r="C213" i="12"/>
  <c r="A213" i="12"/>
  <c r="I212" i="12"/>
  <c r="D212" i="12"/>
  <c r="C212" i="12"/>
  <c r="A212" i="12"/>
  <c r="I211" i="12"/>
  <c r="D211" i="12"/>
  <c r="C211" i="12"/>
  <c r="A211" i="12"/>
  <c r="I210" i="12"/>
  <c r="D210" i="12"/>
  <c r="C210" i="12"/>
  <c r="A210" i="12"/>
  <c r="I209" i="12"/>
  <c r="D209" i="12"/>
  <c r="C209" i="12"/>
  <c r="A209" i="12"/>
  <c r="I208" i="12"/>
  <c r="D208" i="12"/>
  <c r="C208" i="12"/>
  <c r="A208" i="12"/>
  <c r="I207" i="12"/>
  <c r="D207" i="12"/>
  <c r="C207" i="12"/>
  <c r="A207" i="12"/>
  <c r="I206" i="12"/>
  <c r="D206" i="12"/>
  <c r="C206" i="12"/>
  <c r="A206" i="12"/>
  <c r="I205" i="12"/>
  <c r="D205" i="12"/>
  <c r="C205" i="12"/>
  <c r="A205" i="12"/>
  <c r="I204" i="12"/>
  <c r="D204" i="12"/>
  <c r="C204" i="12"/>
  <c r="A204" i="12"/>
  <c r="I203" i="12"/>
  <c r="D203" i="12"/>
  <c r="C203" i="12"/>
  <c r="A203" i="12"/>
  <c r="I202" i="12"/>
  <c r="D202" i="12"/>
  <c r="C202" i="12"/>
  <c r="A202" i="12"/>
  <c r="I201" i="12"/>
  <c r="D201" i="12"/>
  <c r="C201" i="12"/>
  <c r="A201" i="12"/>
  <c r="I200" i="12"/>
  <c r="D200" i="12"/>
  <c r="C200" i="12"/>
  <c r="A200" i="12"/>
  <c r="I199" i="12"/>
  <c r="D199" i="12"/>
  <c r="C199" i="12"/>
  <c r="A199" i="12"/>
  <c r="I198" i="12"/>
  <c r="D198" i="12"/>
  <c r="C198" i="12"/>
  <c r="A198" i="12"/>
  <c r="I197" i="12"/>
  <c r="D197" i="12"/>
  <c r="C197" i="12"/>
  <c r="A197" i="12"/>
  <c r="I196" i="12"/>
  <c r="D196" i="12"/>
  <c r="C196" i="12"/>
  <c r="A196" i="12"/>
  <c r="I195" i="12"/>
  <c r="D195" i="12"/>
  <c r="C195" i="12"/>
  <c r="A195" i="12"/>
  <c r="I194" i="12"/>
  <c r="D194" i="12"/>
  <c r="C194" i="12"/>
  <c r="A194" i="12"/>
  <c r="I193" i="12"/>
  <c r="D193" i="12"/>
  <c r="C193" i="12"/>
  <c r="A193" i="12"/>
  <c r="I192" i="12"/>
  <c r="D192" i="12"/>
  <c r="C192" i="12"/>
  <c r="A192" i="12"/>
  <c r="I191" i="12"/>
  <c r="D191" i="12"/>
  <c r="C191" i="12"/>
  <c r="A191" i="12"/>
  <c r="I190" i="12"/>
  <c r="D190" i="12"/>
  <c r="C190" i="12"/>
  <c r="A190" i="12"/>
  <c r="I189" i="12"/>
  <c r="D189" i="12"/>
  <c r="C189" i="12"/>
  <c r="A189" i="12"/>
  <c r="I188" i="12"/>
  <c r="D188" i="12"/>
  <c r="C188" i="12"/>
  <c r="A188" i="12"/>
  <c r="I187" i="12"/>
  <c r="D187" i="12"/>
  <c r="C187" i="12"/>
  <c r="A187" i="12"/>
  <c r="I186" i="12"/>
  <c r="D186" i="12"/>
  <c r="C186" i="12"/>
  <c r="A186" i="12"/>
  <c r="I185" i="12"/>
  <c r="D185" i="12"/>
  <c r="C185" i="12"/>
  <c r="A185" i="12"/>
  <c r="I184" i="12"/>
  <c r="D184" i="12"/>
  <c r="C184" i="12"/>
  <c r="A184" i="12"/>
  <c r="I183" i="12"/>
  <c r="D183" i="12"/>
  <c r="C183" i="12"/>
  <c r="A183" i="12"/>
  <c r="I182" i="12"/>
  <c r="D182" i="12"/>
  <c r="C182" i="12"/>
  <c r="A182" i="12"/>
  <c r="I181" i="12"/>
  <c r="D181" i="12"/>
  <c r="C181" i="12"/>
  <c r="A181" i="12"/>
  <c r="I180" i="12"/>
  <c r="D180" i="12"/>
  <c r="C180" i="12"/>
  <c r="A180" i="12"/>
  <c r="I179" i="12"/>
  <c r="D179" i="12"/>
  <c r="C179" i="12"/>
  <c r="A179" i="12"/>
  <c r="I178" i="12"/>
  <c r="D178" i="12"/>
  <c r="C178" i="12"/>
  <c r="A178" i="12"/>
  <c r="I177" i="12"/>
  <c r="D177" i="12"/>
  <c r="C177" i="12"/>
  <c r="A177" i="12"/>
  <c r="I176" i="12"/>
  <c r="D176" i="12"/>
  <c r="C176" i="12"/>
  <c r="A176" i="12"/>
  <c r="I175" i="12"/>
  <c r="D175" i="12"/>
  <c r="C175" i="12"/>
  <c r="A175" i="12"/>
  <c r="I174" i="12"/>
  <c r="D174" i="12"/>
  <c r="C174" i="12"/>
  <c r="A174" i="12"/>
  <c r="I173" i="12"/>
  <c r="D173" i="12"/>
  <c r="C173" i="12"/>
  <c r="A173" i="12"/>
  <c r="I172" i="12"/>
  <c r="D172" i="12"/>
  <c r="C172" i="12"/>
  <c r="A172" i="12"/>
  <c r="I171" i="12"/>
  <c r="D171" i="12"/>
  <c r="C171" i="12"/>
  <c r="A171" i="12"/>
  <c r="I170" i="12"/>
  <c r="D170" i="12"/>
  <c r="C170" i="12"/>
  <c r="A170" i="12"/>
  <c r="I169" i="12"/>
  <c r="D169" i="12"/>
  <c r="C169" i="12"/>
  <c r="A169" i="12"/>
  <c r="I168" i="12"/>
  <c r="D168" i="12"/>
  <c r="C168" i="12"/>
  <c r="A168" i="12"/>
  <c r="I167" i="12"/>
  <c r="D167" i="12"/>
  <c r="C167" i="12"/>
  <c r="A167" i="12"/>
  <c r="I166" i="12"/>
  <c r="D166" i="12"/>
  <c r="C166" i="12"/>
  <c r="A166" i="12"/>
  <c r="I165" i="12"/>
  <c r="D165" i="12"/>
  <c r="C165" i="12"/>
  <c r="A165" i="12"/>
  <c r="I164" i="12"/>
  <c r="D164" i="12"/>
  <c r="C164" i="12"/>
  <c r="A164" i="12"/>
  <c r="I163" i="12"/>
  <c r="D163" i="12"/>
  <c r="C163" i="12"/>
  <c r="A163" i="12"/>
  <c r="I162" i="12"/>
  <c r="D162" i="12"/>
  <c r="C162" i="12"/>
  <c r="A162" i="12"/>
  <c r="I161" i="12"/>
  <c r="D161" i="12"/>
  <c r="C161" i="12"/>
  <c r="A161" i="12"/>
  <c r="I160" i="12"/>
  <c r="D160" i="12"/>
  <c r="C160" i="12"/>
  <c r="A160" i="12"/>
  <c r="I159" i="12"/>
  <c r="D159" i="12"/>
  <c r="C159" i="12"/>
  <c r="A159" i="12"/>
  <c r="I158" i="12"/>
  <c r="D158" i="12"/>
  <c r="C158" i="12"/>
  <c r="A158" i="12"/>
  <c r="I157" i="12"/>
  <c r="D157" i="12"/>
  <c r="C157" i="12"/>
  <c r="A157" i="12"/>
  <c r="I156" i="12"/>
  <c r="D156" i="12"/>
  <c r="C156" i="12"/>
  <c r="A156" i="12"/>
  <c r="I155" i="12"/>
  <c r="D155" i="12"/>
  <c r="C155" i="12"/>
  <c r="A155" i="12"/>
  <c r="I154" i="12"/>
  <c r="D154" i="12"/>
  <c r="C154" i="12"/>
  <c r="A154" i="12"/>
  <c r="I153" i="12"/>
  <c r="D153" i="12"/>
  <c r="C153" i="12"/>
  <c r="A153" i="12"/>
  <c r="I152" i="12"/>
  <c r="D152" i="12"/>
  <c r="C152" i="12"/>
  <c r="A152" i="12"/>
  <c r="I151" i="12"/>
  <c r="D151" i="12"/>
  <c r="C151" i="12"/>
  <c r="A151" i="12"/>
  <c r="I150" i="12"/>
  <c r="D150" i="12"/>
  <c r="C150" i="12"/>
  <c r="A150" i="12"/>
  <c r="I149" i="12"/>
  <c r="D149" i="12"/>
  <c r="C149" i="12"/>
  <c r="A149" i="12"/>
  <c r="I148" i="12"/>
  <c r="D148" i="12"/>
  <c r="C148" i="12"/>
  <c r="A148" i="12"/>
  <c r="I147" i="12"/>
  <c r="D147" i="12"/>
  <c r="C147" i="12"/>
  <c r="A147" i="12"/>
  <c r="I146" i="12"/>
  <c r="D146" i="12"/>
  <c r="C146" i="12"/>
  <c r="A146" i="12"/>
  <c r="I145" i="12"/>
  <c r="D145" i="12"/>
  <c r="C145" i="12"/>
  <c r="A145" i="12"/>
  <c r="I144" i="12"/>
  <c r="D144" i="12"/>
  <c r="C144" i="12"/>
  <c r="A144" i="12"/>
  <c r="I143" i="12"/>
  <c r="D143" i="12"/>
  <c r="C143" i="12"/>
  <c r="A143" i="12"/>
  <c r="I142" i="12"/>
  <c r="D142" i="12"/>
  <c r="C142" i="12"/>
  <c r="A142" i="12"/>
  <c r="I141" i="12"/>
  <c r="D141" i="12"/>
  <c r="C141" i="12"/>
  <c r="A141" i="12"/>
  <c r="I140" i="12"/>
  <c r="D140" i="12"/>
  <c r="C140" i="12"/>
  <c r="A140" i="12"/>
  <c r="I139" i="12"/>
  <c r="D139" i="12"/>
  <c r="C139" i="12"/>
  <c r="A139" i="12"/>
  <c r="I138" i="12"/>
  <c r="D138" i="12"/>
  <c r="C138" i="12"/>
  <c r="A138" i="12"/>
  <c r="I137" i="12"/>
  <c r="D137" i="12"/>
  <c r="C137" i="12"/>
  <c r="A137" i="12"/>
  <c r="I136" i="12"/>
  <c r="D136" i="12"/>
  <c r="C136" i="12"/>
  <c r="A136" i="12"/>
  <c r="I135" i="12"/>
  <c r="D135" i="12"/>
  <c r="C135" i="12"/>
  <c r="A135" i="12"/>
  <c r="I134" i="12"/>
  <c r="D134" i="12"/>
  <c r="C134" i="12"/>
  <c r="A134" i="12"/>
  <c r="I133" i="12"/>
  <c r="D133" i="12"/>
  <c r="C133" i="12"/>
  <c r="A133" i="12"/>
  <c r="I132" i="12"/>
  <c r="D132" i="12"/>
  <c r="C132" i="12"/>
  <c r="A132" i="12"/>
  <c r="I131" i="12"/>
  <c r="D131" i="12"/>
  <c r="C131" i="12"/>
  <c r="A131" i="12"/>
  <c r="I130" i="12"/>
  <c r="D130" i="12"/>
  <c r="C130" i="12"/>
  <c r="A130" i="12"/>
  <c r="I129" i="12"/>
  <c r="D129" i="12"/>
  <c r="C129" i="12"/>
  <c r="A129" i="12"/>
  <c r="I128" i="12"/>
  <c r="D128" i="12"/>
  <c r="C128" i="12"/>
  <c r="A128" i="12"/>
  <c r="I127" i="12"/>
  <c r="D127" i="12"/>
  <c r="C127" i="12"/>
  <c r="A127" i="12"/>
  <c r="I126" i="12"/>
  <c r="D126" i="12"/>
  <c r="C126" i="12"/>
  <c r="A126" i="12"/>
  <c r="I125" i="12"/>
  <c r="D125" i="12"/>
  <c r="C125" i="12"/>
  <c r="A125" i="12"/>
  <c r="I124" i="12"/>
  <c r="D124" i="12"/>
  <c r="C124" i="12"/>
  <c r="A124" i="12"/>
  <c r="I123" i="12"/>
  <c r="D123" i="12"/>
  <c r="C123" i="12"/>
  <c r="A123" i="12"/>
  <c r="I122" i="12"/>
  <c r="D122" i="12"/>
  <c r="C122" i="12"/>
  <c r="A122" i="12"/>
  <c r="I121" i="12"/>
  <c r="D121" i="12"/>
  <c r="C121" i="12"/>
  <c r="A121" i="12"/>
  <c r="I120" i="12"/>
  <c r="D120" i="12"/>
  <c r="C120" i="12"/>
  <c r="A120" i="12"/>
  <c r="I119" i="12"/>
  <c r="D119" i="12"/>
  <c r="C119" i="12"/>
  <c r="A119" i="12"/>
  <c r="I118" i="12"/>
  <c r="D118" i="12"/>
  <c r="C118" i="12"/>
  <c r="A118" i="12"/>
  <c r="I117" i="12"/>
  <c r="D117" i="12"/>
  <c r="C117" i="12"/>
  <c r="A117" i="12"/>
  <c r="I116" i="12"/>
  <c r="D116" i="12"/>
  <c r="C116" i="12"/>
  <c r="A116" i="12"/>
  <c r="I115" i="12"/>
  <c r="D115" i="12"/>
  <c r="C115" i="12"/>
  <c r="A115" i="12"/>
  <c r="I114" i="12"/>
  <c r="D114" i="12"/>
  <c r="C114" i="12"/>
  <c r="A114" i="12"/>
  <c r="I113" i="12"/>
  <c r="D113" i="12"/>
  <c r="C113" i="12"/>
  <c r="A113" i="12"/>
  <c r="I112" i="12"/>
  <c r="D112" i="12"/>
  <c r="C112" i="12"/>
  <c r="A112" i="12"/>
  <c r="I111" i="12"/>
  <c r="D111" i="12"/>
  <c r="C111" i="12"/>
  <c r="A111" i="12"/>
  <c r="I110" i="12"/>
  <c r="D110" i="12"/>
  <c r="C110" i="12"/>
  <c r="A110" i="12"/>
  <c r="I109" i="12"/>
  <c r="D109" i="12"/>
  <c r="C109" i="12"/>
  <c r="A109" i="12"/>
  <c r="I108" i="12"/>
  <c r="D108" i="12"/>
  <c r="C108" i="12"/>
  <c r="A108" i="12"/>
  <c r="I107" i="12"/>
  <c r="D107" i="12"/>
  <c r="C107" i="12"/>
  <c r="A107" i="12"/>
  <c r="I106" i="12"/>
  <c r="D106" i="12"/>
  <c r="C106" i="12"/>
  <c r="A106" i="12"/>
  <c r="I105" i="12"/>
  <c r="D105" i="12"/>
  <c r="C105" i="12"/>
  <c r="A105" i="12"/>
  <c r="I104" i="12"/>
  <c r="D104" i="12"/>
  <c r="C104" i="12"/>
  <c r="A104" i="12"/>
  <c r="I103" i="12"/>
  <c r="D103" i="12"/>
  <c r="C103" i="12"/>
  <c r="A103" i="12"/>
  <c r="I102" i="12"/>
  <c r="D102" i="12"/>
  <c r="C102" i="12"/>
  <c r="A102" i="12"/>
  <c r="I101" i="12"/>
  <c r="D101" i="12"/>
  <c r="C101" i="12"/>
  <c r="A101" i="12"/>
  <c r="I100" i="12"/>
  <c r="D100" i="12"/>
  <c r="C100" i="12"/>
  <c r="A100" i="12"/>
  <c r="I99" i="12"/>
  <c r="D99" i="12"/>
  <c r="C99" i="12"/>
  <c r="A99" i="12"/>
  <c r="I98" i="12"/>
  <c r="D98" i="12"/>
  <c r="C98" i="12"/>
  <c r="A98" i="12"/>
  <c r="I97" i="12"/>
  <c r="D97" i="12"/>
  <c r="C97" i="12"/>
  <c r="A97" i="12"/>
  <c r="I96" i="12"/>
  <c r="D96" i="12"/>
  <c r="C96" i="12"/>
  <c r="A96" i="12"/>
  <c r="I95" i="12"/>
  <c r="D95" i="12"/>
  <c r="C95" i="12"/>
  <c r="A95" i="12"/>
  <c r="I94" i="12"/>
  <c r="D94" i="12"/>
  <c r="C94" i="12"/>
  <c r="A94" i="12"/>
  <c r="I93" i="12"/>
  <c r="D93" i="12"/>
  <c r="C93" i="12"/>
  <c r="A93" i="12"/>
  <c r="I92" i="12"/>
  <c r="D92" i="12"/>
  <c r="C92" i="12"/>
  <c r="A92" i="12"/>
  <c r="I91" i="12"/>
  <c r="D91" i="12"/>
  <c r="C91" i="12"/>
  <c r="A91" i="12"/>
  <c r="I90" i="12"/>
  <c r="D90" i="12"/>
  <c r="C90" i="12"/>
  <c r="A90" i="12"/>
  <c r="I89" i="12"/>
  <c r="D89" i="12"/>
  <c r="C89" i="12"/>
  <c r="A89" i="12"/>
  <c r="I88" i="12"/>
  <c r="D88" i="12"/>
  <c r="C88" i="12"/>
  <c r="A88" i="12"/>
  <c r="I87" i="12"/>
  <c r="D87" i="12"/>
  <c r="C87" i="12"/>
  <c r="A87" i="12"/>
  <c r="I86" i="12"/>
  <c r="D86" i="12"/>
  <c r="C86" i="12"/>
  <c r="A86" i="12"/>
  <c r="I85" i="12"/>
  <c r="D85" i="12"/>
  <c r="C85" i="12"/>
  <c r="A85" i="12"/>
  <c r="I84" i="12"/>
  <c r="D84" i="12"/>
  <c r="C84" i="12"/>
  <c r="A84" i="12"/>
  <c r="I83" i="12"/>
  <c r="D83" i="12"/>
  <c r="C83" i="12"/>
  <c r="A83" i="12"/>
  <c r="I82" i="12"/>
  <c r="D82" i="12"/>
  <c r="C82" i="12"/>
  <c r="A82" i="12"/>
  <c r="I81" i="12"/>
  <c r="D81" i="12"/>
  <c r="C81" i="12"/>
  <c r="A81" i="12"/>
  <c r="I80" i="12"/>
  <c r="D80" i="12"/>
  <c r="C80" i="12"/>
  <c r="A80" i="12"/>
  <c r="I79" i="12"/>
  <c r="D79" i="12"/>
  <c r="C79" i="12"/>
  <c r="A79" i="12"/>
  <c r="I78" i="12"/>
  <c r="D78" i="12"/>
  <c r="C78" i="12"/>
  <c r="A78" i="12"/>
  <c r="I77" i="12"/>
  <c r="D77" i="12"/>
  <c r="C77" i="12"/>
  <c r="A77" i="12"/>
  <c r="I76" i="12"/>
  <c r="D76" i="12"/>
  <c r="C76" i="12"/>
  <c r="A76" i="12"/>
  <c r="I75" i="12"/>
  <c r="D75" i="12"/>
  <c r="C75" i="12"/>
  <c r="A75" i="12"/>
  <c r="I74" i="12"/>
  <c r="D74" i="12"/>
  <c r="C74" i="12"/>
  <c r="A74" i="12"/>
  <c r="I73" i="12"/>
  <c r="D73" i="12"/>
  <c r="C73" i="12"/>
  <c r="A73" i="12"/>
  <c r="I72" i="12"/>
  <c r="D72" i="12"/>
  <c r="C72" i="12"/>
  <c r="A72" i="12"/>
  <c r="I71" i="12"/>
  <c r="D71" i="12"/>
  <c r="C71" i="12"/>
  <c r="A71" i="12"/>
  <c r="I70" i="12"/>
  <c r="D70" i="12"/>
  <c r="C70" i="12"/>
  <c r="A70" i="12"/>
  <c r="I69" i="12"/>
  <c r="D69" i="12"/>
  <c r="C69" i="12"/>
  <c r="A69" i="12"/>
  <c r="I68" i="12"/>
  <c r="D68" i="12"/>
  <c r="C68" i="12"/>
  <c r="A68" i="12"/>
  <c r="I67" i="12"/>
  <c r="D67" i="12"/>
  <c r="C67" i="12"/>
  <c r="A67" i="12"/>
  <c r="I66" i="12"/>
  <c r="D66" i="12"/>
  <c r="C66" i="12"/>
  <c r="A66" i="12"/>
  <c r="I65" i="12"/>
  <c r="D65" i="12"/>
  <c r="C65" i="12"/>
  <c r="A65" i="12"/>
  <c r="I64" i="12"/>
  <c r="D64" i="12"/>
  <c r="C64" i="12"/>
  <c r="A64" i="12"/>
  <c r="I63" i="12"/>
  <c r="D63" i="12"/>
  <c r="C63" i="12"/>
  <c r="A63" i="12"/>
  <c r="I62" i="12"/>
  <c r="D62" i="12"/>
  <c r="C62" i="12"/>
  <c r="A62" i="12"/>
  <c r="I61" i="12"/>
  <c r="D61" i="12"/>
  <c r="C61" i="12"/>
  <c r="A61" i="12"/>
  <c r="I60" i="12"/>
  <c r="D60" i="12"/>
  <c r="C60" i="12"/>
  <c r="A60" i="12"/>
  <c r="I59" i="12"/>
  <c r="D59" i="12"/>
  <c r="C59" i="12"/>
  <c r="A59" i="12"/>
  <c r="I58" i="12"/>
  <c r="D58" i="12"/>
  <c r="C58" i="12"/>
  <c r="A58" i="12"/>
  <c r="I57" i="12"/>
  <c r="D57" i="12"/>
  <c r="C57" i="12"/>
  <c r="A57" i="12"/>
  <c r="I56" i="12"/>
  <c r="D56" i="12"/>
  <c r="C56" i="12"/>
  <c r="A56" i="12"/>
  <c r="I55" i="12"/>
  <c r="D55" i="12"/>
  <c r="C55" i="12"/>
  <c r="A55" i="12"/>
  <c r="I54" i="12"/>
  <c r="D54" i="12"/>
  <c r="C54" i="12"/>
  <c r="A54" i="12"/>
  <c r="I53" i="12"/>
  <c r="D53" i="12"/>
  <c r="C53" i="12"/>
  <c r="A53" i="12"/>
  <c r="I52" i="12"/>
  <c r="D52" i="12"/>
  <c r="C52" i="12"/>
  <c r="A52" i="12"/>
  <c r="I51" i="12"/>
  <c r="D51" i="12"/>
  <c r="C51" i="12"/>
  <c r="A51" i="12"/>
  <c r="I50" i="12"/>
  <c r="D50" i="12"/>
  <c r="C50" i="12"/>
  <c r="A50" i="12"/>
  <c r="I49" i="12"/>
  <c r="D49" i="12"/>
  <c r="C49" i="12"/>
  <c r="A49" i="12"/>
  <c r="I48" i="12"/>
  <c r="D48" i="12"/>
  <c r="C48" i="12"/>
  <c r="A48" i="12"/>
  <c r="I47" i="12"/>
  <c r="D47" i="12"/>
  <c r="C47" i="12"/>
  <c r="A47" i="12"/>
  <c r="I46" i="12"/>
  <c r="D46" i="12"/>
  <c r="C46" i="12"/>
  <c r="A46" i="12"/>
  <c r="I45" i="12"/>
  <c r="D45" i="12"/>
  <c r="C45" i="12"/>
  <c r="A45" i="12"/>
  <c r="I44" i="12"/>
  <c r="D44" i="12"/>
  <c r="C44" i="12"/>
  <c r="A44" i="12"/>
  <c r="I43" i="12"/>
  <c r="D43" i="12"/>
  <c r="C43" i="12"/>
  <c r="A43" i="12"/>
  <c r="I42" i="12"/>
  <c r="D42" i="12"/>
  <c r="C42" i="12"/>
  <c r="A42" i="12"/>
  <c r="I41" i="12"/>
  <c r="D41" i="12"/>
  <c r="C41" i="12"/>
  <c r="A41" i="12"/>
  <c r="I40" i="12"/>
  <c r="D40" i="12"/>
  <c r="C40" i="12"/>
  <c r="A40" i="12"/>
  <c r="I39" i="12"/>
  <c r="D39" i="12"/>
  <c r="C39" i="12"/>
  <c r="A39" i="12"/>
  <c r="I38" i="12"/>
  <c r="D38" i="12"/>
  <c r="C38" i="12"/>
  <c r="A38" i="12"/>
  <c r="I37" i="12"/>
  <c r="D37" i="12"/>
  <c r="C37" i="12"/>
  <c r="A37" i="12"/>
  <c r="I36" i="12"/>
  <c r="D36" i="12"/>
  <c r="C36" i="12"/>
  <c r="A36" i="12"/>
  <c r="I35" i="12"/>
  <c r="D35" i="12"/>
  <c r="C35" i="12"/>
  <c r="A35" i="12"/>
  <c r="I34" i="12"/>
  <c r="D34" i="12"/>
  <c r="C34" i="12"/>
  <c r="A34" i="12"/>
  <c r="I33" i="12"/>
  <c r="D33" i="12"/>
  <c r="C33" i="12"/>
  <c r="A33" i="12"/>
  <c r="I32" i="12"/>
  <c r="D32" i="12"/>
  <c r="C32" i="12"/>
  <c r="A32" i="12"/>
  <c r="I31" i="12"/>
  <c r="A31" i="12"/>
  <c r="I30" i="12"/>
  <c r="A30" i="12"/>
  <c r="I29" i="12"/>
  <c r="A29" i="12"/>
  <c r="I28" i="12"/>
  <c r="A28" i="12"/>
  <c r="I27" i="12"/>
  <c r="A27" i="12"/>
  <c r="I26" i="12"/>
  <c r="A26" i="12"/>
  <c r="I25" i="12"/>
  <c r="A25" i="12"/>
  <c r="I24" i="12"/>
  <c r="A24" i="12"/>
  <c r="I23" i="12"/>
  <c r="A23" i="12"/>
  <c r="I22" i="12"/>
  <c r="A22" i="12"/>
  <c r="I21" i="12"/>
  <c r="A21" i="12"/>
  <c r="I20" i="12"/>
  <c r="A20" i="12"/>
  <c r="I19" i="12"/>
  <c r="A19" i="12"/>
  <c r="I18" i="12"/>
  <c r="A18" i="12"/>
  <c r="I17" i="12"/>
  <c r="A17" i="12"/>
  <c r="I16" i="12"/>
  <c r="A16" i="12"/>
  <c r="I15" i="12"/>
  <c r="A15" i="12"/>
  <c r="I14" i="12"/>
  <c r="A14" i="12"/>
  <c r="I13" i="12"/>
  <c r="A13" i="12"/>
  <c r="I12" i="12"/>
  <c r="A12" i="12"/>
  <c r="I11" i="12"/>
  <c r="A11" i="12"/>
  <c r="I10" i="12"/>
  <c r="A10" i="12"/>
  <c r="I9" i="12"/>
  <c r="A9" i="12"/>
  <c r="I8" i="12"/>
  <c r="A8" i="12"/>
  <c r="I7" i="12"/>
  <c r="A7" i="12"/>
  <c r="I6" i="12"/>
  <c r="A6" i="12"/>
  <c r="I5" i="12"/>
  <c r="A5" i="12"/>
  <c r="I4" i="12"/>
  <c r="A4" i="12"/>
  <c r="I3" i="12"/>
  <c r="A3" i="12"/>
  <c r="I2" i="12"/>
  <c r="A2" i="12"/>
  <c r="B25" i="1"/>
  <c r="B24" i="1"/>
  <c r="P18" i="4" l="1"/>
  <c r="Z19" i="10" a="1"/>
  <c r="Z19" i="10" s="1"/>
  <c r="X19" i="10" a="1"/>
  <c r="X19" i="10" s="1"/>
  <c r="V19" i="10" a="1"/>
  <c r="V19" i="10" s="1"/>
  <c r="T19" i="10" a="1"/>
  <c r="T19" i="10" s="1"/>
  <c r="R19" i="10" a="1"/>
  <c r="R19" i="10" s="1"/>
  <c r="P19" i="10" a="1"/>
  <c r="P19" i="10" s="1"/>
  <c r="N19" i="10" a="1"/>
  <c r="N19" i="10" s="1"/>
  <c r="L19" i="10" a="1"/>
  <c r="L19" i="10" s="1"/>
  <c r="J19" i="10" a="1"/>
  <c r="J19" i="10" s="1"/>
  <c r="H19" i="10" a="1"/>
  <c r="H19" i="10" s="1"/>
  <c r="F19" i="10" a="1"/>
  <c r="F19" i="10" s="1"/>
  <c r="D19" i="10" a="1"/>
  <c r="D19" i="10" s="1"/>
  <c r="Z18" i="10"/>
  <c r="Z21" i="10" s="1"/>
  <c r="Z18" i="10" a="1"/>
  <c r="X18" i="10"/>
  <c r="X21" i="10" s="1"/>
  <c r="X18" i="10" a="1"/>
  <c r="V18" i="10" a="1"/>
  <c r="V18" i="10" s="1"/>
  <c r="T18" i="10"/>
  <c r="T21" i="10" s="1"/>
  <c r="T18" i="10" a="1"/>
  <c r="R18" i="10"/>
  <c r="R21" i="10" s="1"/>
  <c r="R18" i="10" a="1"/>
  <c r="P18" i="10"/>
  <c r="P21" i="10" s="1"/>
  <c r="P18" i="10" a="1"/>
  <c r="N18" i="10" a="1"/>
  <c r="N18" i="10" s="1"/>
  <c r="L18" i="10" a="1"/>
  <c r="L18" i="10" s="1"/>
  <c r="J18" i="10" a="1"/>
  <c r="J18" i="10" s="1"/>
  <c r="H18" i="10"/>
  <c r="H18" i="10" a="1"/>
  <c r="F18" i="10" a="1"/>
  <c r="F18" i="10" s="1"/>
  <c r="D18" i="10" a="1"/>
  <c r="D18" i="10" s="1"/>
  <c r="AB19" i="10" l="1"/>
  <c r="N21" i="10"/>
  <c r="N20" i="10"/>
  <c r="F21" i="10"/>
  <c r="F20" i="10"/>
  <c r="V21" i="10"/>
  <c r="V20" i="10"/>
  <c r="AB18" i="10"/>
  <c r="D21" i="10"/>
  <c r="D20" i="10"/>
  <c r="H21" i="10"/>
  <c r="J21" i="10"/>
  <c r="J20" i="10"/>
  <c r="L21" i="10"/>
  <c r="L20" i="10"/>
  <c r="H20" i="10"/>
  <c r="P20" i="10"/>
  <c r="R20" i="10"/>
  <c r="T20" i="10"/>
  <c r="X20" i="10"/>
  <c r="Z20" i="10"/>
  <c r="G505" i="8" l="1"/>
  <c r="F505" i="8"/>
  <c r="E505" i="8"/>
  <c r="G504" i="8"/>
  <c r="F504" i="8"/>
  <c r="E504" i="8"/>
  <c r="G503" i="8"/>
  <c r="F503" i="8"/>
  <c r="E503" i="8"/>
  <c r="G502" i="8"/>
  <c r="F502" i="8"/>
  <c r="E502" i="8"/>
  <c r="G501" i="8"/>
  <c r="F501" i="8"/>
  <c r="E501" i="8"/>
  <c r="G500" i="8"/>
  <c r="F500" i="8"/>
  <c r="E500" i="8"/>
  <c r="G499" i="8"/>
  <c r="F499" i="8"/>
  <c r="E499" i="8"/>
  <c r="G498" i="8"/>
  <c r="F498" i="8"/>
  <c r="E498" i="8"/>
  <c r="G497" i="8"/>
  <c r="F497" i="8"/>
  <c r="E497" i="8"/>
  <c r="G496" i="8"/>
  <c r="F496" i="8"/>
  <c r="E496" i="8"/>
  <c r="G495" i="8"/>
  <c r="F495" i="8"/>
  <c r="E495" i="8"/>
  <c r="G494" i="8"/>
  <c r="F494" i="8"/>
  <c r="E494" i="8"/>
  <c r="G493" i="8"/>
  <c r="F493" i="8"/>
  <c r="E493" i="8"/>
  <c r="G492" i="8"/>
  <c r="F492" i="8"/>
  <c r="E492" i="8"/>
  <c r="G491" i="8"/>
  <c r="F491" i="8"/>
  <c r="E491" i="8"/>
  <c r="G490" i="8"/>
  <c r="F490" i="8"/>
  <c r="E490" i="8"/>
  <c r="G489" i="8"/>
  <c r="F489" i="8"/>
  <c r="E489" i="8"/>
  <c r="G488" i="8"/>
  <c r="F488" i="8"/>
  <c r="E488" i="8"/>
  <c r="G487" i="8"/>
  <c r="F487" i="8"/>
  <c r="E487" i="8"/>
  <c r="G486" i="8"/>
  <c r="F486" i="8"/>
  <c r="E486" i="8"/>
  <c r="G485" i="8"/>
  <c r="F485" i="8"/>
  <c r="E485" i="8"/>
  <c r="G484" i="8"/>
  <c r="F484" i="8"/>
  <c r="E484" i="8"/>
  <c r="G483" i="8"/>
  <c r="F483" i="8"/>
  <c r="E483" i="8"/>
  <c r="G482" i="8"/>
  <c r="F482" i="8"/>
  <c r="E482" i="8"/>
  <c r="G481" i="8"/>
  <c r="F481" i="8"/>
  <c r="E481" i="8"/>
  <c r="G480" i="8"/>
  <c r="F480" i="8"/>
  <c r="E480" i="8"/>
  <c r="G479" i="8"/>
  <c r="F479" i="8"/>
  <c r="E479" i="8"/>
  <c r="G478" i="8"/>
  <c r="F478" i="8"/>
  <c r="E478" i="8"/>
  <c r="G477" i="8"/>
  <c r="F477" i="8"/>
  <c r="E477" i="8"/>
  <c r="G476" i="8"/>
  <c r="F476" i="8"/>
  <c r="E476" i="8"/>
  <c r="G475" i="8"/>
  <c r="F475" i="8"/>
  <c r="E475" i="8"/>
  <c r="G474" i="8"/>
  <c r="F474" i="8"/>
  <c r="E474" i="8"/>
  <c r="G473" i="8"/>
  <c r="F473" i="8"/>
  <c r="E473" i="8"/>
  <c r="G472" i="8"/>
  <c r="F472" i="8"/>
  <c r="E472" i="8"/>
  <c r="G471" i="8"/>
  <c r="F471" i="8"/>
  <c r="E471" i="8"/>
  <c r="G470" i="8"/>
  <c r="F470" i="8"/>
  <c r="E470" i="8"/>
  <c r="G469" i="8"/>
  <c r="F469" i="8"/>
  <c r="E469" i="8"/>
  <c r="G468" i="8"/>
  <c r="F468" i="8"/>
  <c r="E468" i="8"/>
  <c r="G467" i="8"/>
  <c r="F467" i="8"/>
  <c r="E467" i="8"/>
  <c r="G466" i="8"/>
  <c r="F466" i="8"/>
  <c r="E466" i="8"/>
  <c r="G465" i="8"/>
  <c r="F465" i="8"/>
  <c r="E465" i="8"/>
  <c r="G464" i="8"/>
  <c r="F464" i="8"/>
  <c r="E464" i="8"/>
  <c r="G463" i="8"/>
  <c r="F463" i="8"/>
  <c r="E463" i="8"/>
  <c r="G462" i="8"/>
  <c r="F462" i="8"/>
  <c r="E462" i="8"/>
  <c r="G461" i="8"/>
  <c r="F461" i="8"/>
  <c r="E461" i="8"/>
  <c r="G460" i="8"/>
  <c r="F460" i="8"/>
  <c r="E460" i="8"/>
  <c r="G459" i="8"/>
  <c r="F459" i="8"/>
  <c r="E459" i="8"/>
  <c r="G458" i="8"/>
  <c r="F458" i="8"/>
  <c r="E458" i="8"/>
  <c r="G457" i="8"/>
  <c r="F457" i="8"/>
  <c r="E457" i="8"/>
  <c r="G456" i="8"/>
  <c r="F456" i="8"/>
  <c r="E456" i="8"/>
  <c r="G455" i="8"/>
  <c r="F455" i="8"/>
  <c r="E455" i="8"/>
  <c r="G454" i="8"/>
  <c r="F454" i="8"/>
  <c r="E454" i="8"/>
  <c r="G453" i="8"/>
  <c r="F453" i="8"/>
  <c r="E453" i="8"/>
  <c r="G452" i="8"/>
  <c r="F452" i="8"/>
  <c r="E452" i="8"/>
  <c r="G451" i="8"/>
  <c r="F451" i="8"/>
  <c r="E451" i="8"/>
  <c r="G450" i="8"/>
  <c r="F450" i="8"/>
  <c r="E450" i="8"/>
  <c r="G449" i="8"/>
  <c r="F449" i="8"/>
  <c r="E449" i="8"/>
  <c r="G448" i="8"/>
  <c r="F448" i="8"/>
  <c r="E448" i="8"/>
  <c r="G447" i="8"/>
  <c r="F447" i="8"/>
  <c r="E447" i="8"/>
  <c r="G446" i="8"/>
  <c r="F446" i="8"/>
  <c r="E446" i="8"/>
  <c r="G445" i="8"/>
  <c r="F445" i="8"/>
  <c r="E445" i="8"/>
  <c r="G444" i="8"/>
  <c r="F444" i="8"/>
  <c r="E444" i="8"/>
  <c r="G443" i="8"/>
  <c r="F443" i="8"/>
  <c r="E443" i="8"/>
  <c r="G442" i="8"/>
  <c r="F442" i="8"/>
  <c r="E442" i="8"/>
  <c r="G441" i="8"/>
  <c r="F441" i="8"/>
  <c r="E441" i="8"/>
  <c r="G440" i="8"/>
  <c r="F440" i="8"/>
  <c r="E440" i="8"/>
  <c r="G439" i="8"/>
  <c r="F439" i="8"/>
  <c r="E439" i="8"/>
  <c r="G438" i="8"/>
  <c r="F438" i="8"/>
  <c r="E438" i="8"/>
  <c r="G437" i="8"/>
  <c r="F437" i="8"/>
  <c r="E437" i="8"/>
  <c r="G436" i="8"/>
  <c r="F436" i="8"/>
  <c r="E436" i="8"/>
  <c r="G435" i="8"/>
  <c r="F435" i="8"/>
  <c r="E435" i="8"/>
  <c r="G434" i="8"/>
  <c r="F434" i="8"/>
  <c r="E434" i="8"/>
  <c r="G433" i="8"/>
  <c r="F433" i="8"/>
  <c r="E433" i="8"/>
  <c r="G432" i="8"/>
  <c r="F432" i="8"/>
  <c r="E432" i="8"/>
  <c r="G431" i="8"/>
  <c r="F431" i="8"/>
  <c r="E431" i="8"/>
  <c r="G430" i="8"/>
  <c r="F430" i="8"/>
  <c r="E430" i="8"/>
  <c r="G429" i="8"/>
  <c r="F429" i="8"/>
  <c r="E429" i="8"/>
  <c r="G428" i="8"/>
  <c r="F428" i="8"/>
  <c r="E428" i="8"/>
  <c r="G427" i="8"/>
  <c r="F427" i="8"/>
  <c r="E427" i="8"/>
  <c r="G426" i="8"/>
  <c r="F426" i="8"/>
  <c r="E426" i="8"/>
  <c r="G425" i="8"/>
  <c r="F425" i="8"/>
  <c r="E425" i="8"/>
  <c r="G424" i="8"/>
  <c r="F424" i="8"/>
  <c r="E424" i="8"/>
  <c r="G423" i="8"/>
  <c r="F423" i="8"/>
  <c r="E423" i="8"/>
  <c r="G422" i="8"/>
  <c r="F422" i="8"/>
  <c r="E422" i="8"/>
  <c r="G421" i="8"/>
  <c r="F421" i="8"/>
  <c r="E421" i="8"/>
  <c r="G420" i="8"/>
  <c r="F420" i="8"/>
  <c r="E420" i="8"/>
  <c r="G419" i="8"/>
  <c r="F419" i="8"/>
  <c r="E419" i="8"/>
  <c r="G418" i="8"/>
  <c r="F418" i="8"/>
  <c r="E418" i="8"/>
  <c r="G417" i="8"/>
  <c r="F417" i="8"/>
  <c r="E417" i="8"/>
  <c r="G416" i="8"/>
  <c r="F416" i="8"/>
  <c r="E416" i="8"/>
  <c r="G415" i="8"/>
  <c r="F415" i="8"/>
  <c r="E415" i="8"/>
  <c r="G414" i="8"/>
  <c r="F414" i="8"/>
  <c r="E414" i="8"/>
  <c r="G413" i="8"/>
  <c r="F413" i="8"/>
  <c r="E413" i="8"/>
  <c r="G412" i="8"/>
  <c r="F412" i="8"/>
  <c r="E412" i="8"/>
  <c r="G411" i="8"/>
  <c r="F411" i="8"/>
  <c r="E411" i="8"/>
  <c r="G410" i="8"/>
  <c r="F410" i="8"/>
  <c r="E410" i="8"/>
  <c r="G409" i="8"/>
  <c r="F409" i="8"/>
  <c r="E409" i="8"/>
  <c r="G408" i="8"/>
  <c r="F408" i="8"/>
  <c r="E408" i="8"/>
  <c r="G407" i="8"/>
  <c r="F407" i="8"/>
  <c r="E407" i="8"/>
  <c r="G406" i="8"/>
  <c r="F406" i="8"/>
  <c r="E406" i="8"/>
  <c r="G405" i="8"/>
  <c r="F405" i="8"/>
  <c r="E405" i="8"/>
  <c r="G404" i="8"/>
  <c r="F404" i="8"/>
  <c r="E404" i="8"/>
  <c r="G403" i="8"/>
  <c r="F403" i="8"/>
  <c r="E403" i="8"/>
  <c r="G402" i="8"/>
  <c r="F402" i="8"/>
  <c r="E402" i="8"/>
  <c r="G401" i="8"/>
  <c r="F401" i="8"/>
  <c r="E401" i="8"/>
  <c r="G400" i="8"/>
  <c r="F400" i="8"/>
  <c r="E400" i="8"/>
  <c r="G399" i="8"/>
  <c r="F399" i="8"/>
  <c r="E399" i="8"/>
  <c r="G398" i="8"/>
  <c r="F398" i="8"/>
  <c r="E398" i="8"/>
  <c r="G397" i="8"/>
  <c r="F397" i="8"/>
  <c r="E397" i="8"/>
  <c r="G396" i="8"/>
  <c r="F396" i="8"/>
  <c r="E396" i="8"/>
  <c r="G395" i="8"/>
  <c r="F395" i="8"/>
  <c r="E395" i="8"/>
  <c r="G394" i="8"/>
  <c r="F394" i="8"/>
  <c r="E394" i="8"/>
  <c r="G393" i="8"/>
  <c r="F393" i="8"/>
  <c r="E393" i="8"/>
  <c r="G392" i="8"/>
  <c r="F392" i="8"/>
  <c r="E392" i="8"/>
  <c r="G391" i="8"/>
  <c r="F391" i="8"/>
  <c r="E391" i="8"/>
  <c r="G390" i="8"/>
  <c r="F390" i="8"/>
  <c r="E390" i="8"/>
  <c r="G389" i="8"/>
  <c r="F389" i="8"/>
  <c r="E389" i="8"/>
  <c r="G388" i="8"/>
  <c r="F388" i="8"/>
  <c r="E388" i="8"/>
  <c r="G387" i="8"/>
  <c r="F387" i="8"/>
  <c r="E387" i="8"/>
  <c r="G386" i="8"/>
  <c r="F386" i="8"/>
  <c r="E386" i="8"/>
  <c r="G385" i="8"/>
  <c r="F385" i="8"/>
  <c r="E385" i="8"/>
  <c r="G384" i="8"/>
  <c r="F384" i="8"/>
  <c r="E384" i="8"/>
  <c r="G383" i="8"/>
  <c r="F383" i="8"/>
  <c r="E383" i="8"/>
  <c r="G382" i="8"/>
  <c r="F382" i="8"/>
  <c r="E382" i="8"/>
  <c r="G381" i="8"/>
  <c r="F381" i="8"/>
  <c r="E381" i="8"/>
  <c r="G380" i="8"/>
  <c r="F380" i="8"/>
  <c r="E380" i="8"/>
  <c r="G379" i="8"/>
  <c r="F379" i="8"/>
  <c r="E379" i="8"/>
  <c r="G378" i="8"/>
  <c r="F378" i="8"/>
  <c r="E378" i="8"/>
  <c r="G377" i="8"/>
  <c r="F377" i="8"/>
  <c r="E377" i="8"/>
  <c r="G376" i="8"/>
  <c r="F376" i="8"/>
  <c r="E376" i="8"/>
  <c r="G375" i="8"/>
  <c r="F375" i="8"/>
  <c r="E375" i="8"/>
  <c r="G374" i="8"/>
  <c r="F374" i="8"/>
  <c r="E374" i="8"/>
  <c r="G373" i="8"/>
  <c r="F373" i="8"/>
  <c r="E373" i="8"/>
  <c r="G372" i="8"/>
  <c r="F372" i="8"/>
  <c r="E372" i="8"/>
  <c r="G371" i="8"/>
  <c r="F371" i="8"/>
  <c r="E371" i="8"/>
  <c r="G370" i="8"/>
  <c r="F370" i="8"/>
  <c r="E370" i="8"/>
  <c r="G369" i="8"/>
  <c r="F369" i="8"/>
  <c r="E369" i="8"/>
  <c r="G368" i="8"/>
  <c r="F368" i="8"/>
  <c r="E368" i="8"/>
  <c r="G367" i="8"/>
  <c r="F367" i="8"/>
  <c r="E367" i="8"/>
  <c r="G366" i="8"/>
  <c r="F366" i="8"/>
  <c r="E366" i="8"/>
  <c r="G365" i="8"/>
  <c r="F365" i="8"/>
  <c r="E365" i="8"/>
  <c r="G364" i="8"/>
  <c r="F364" i="8"/>
  <c r="E364" i="8"/>
  <c r="G363" i="8"/>
  <c r="F363" i="8"/>
  <c r="E363" i="8"/>
  <c r="G362" i="8"/>
  <c r="F362" i="8"/>
  <c r="E362" i="8"/>
  <c r="G361" i="8"/>
  <c r="F361" i="8"/>
  <c r="E361" i="8"/>
  <c r="G360" i="8"/>
  <c r="F360" i="8"/>
  <c r="E360" i="8"/>
  <c r="G359" i="8"/>
  <c r="F359" i="8"/>
  <c r="E359" i="8"/>
  <c r="G358" i="8"/>
  <c r="F358" i="8"/>
  <c r="E358" i="8"/>
  <c r="G357" i="8"/>
  <c r="F357" i="8"/>
  <c r="E357" i="8"/>
  <c r="G356" i="8"/>
  <c r="F356" i="8"/>
  <c r="E356" i="8"/>
  <c r="G355" i="8"/>
  <c r="F355" i="8"/>
  <c r="E355" i="8"/>
  <c r="G354" i="8"/>
  <c r="F354" i="8"/>
  <c r="E354" i="8"/>
  <c r="G353" i="8"/>
  <c r="F353" i="8"/>
  <c r="E353" i="8"/>
  <c r="G352" i="8"/>
  <c r="F352" i="8"/>
  <c r="E352" i="8"/>
  <c r="G351" i="8"/>
  <c r="F351" i="8"/>
  <c r="E351" i="8"/>
  <c r="G350" i="8"/>
  <c r="F350" i="8"/>
  <c r="E350" i="8"/>
  <c r="G349" i="8"/>
  <c r="F349" i="8"/>
  <c r="E349" i="8"/>
  <c r="G348" i="8"/>
  <c r="F348" i="8"/>
  <c r="E348" i="8"/>
  <c r="G347" i="8"/>
  <c r="F347" i="8"/>
  <c r="E347" i="8"/>
  <c r="G346" i="8"/>
  <c r="F346" i="8"/>
  <c r="E346" i="8"/>
  <c r="G345" i="8"/>
  <c r="F345" i="8"/>
  <c r="E345" i="8"/>
  <c r="G344" i="8"/>
  <c r="F344" i="8"/>
  <c r="E344" i="8"/>
  <c r="G343" i="8"/>
  <c r="F343" i="8"/>
  <c r="E343" i="8"/>
  <c r="G342" i="8"/>
  <c r="F342" i="8"/>
  <c r="E342" i="8"/>
  <c r="G341" i="8"/>
  <c r="F341" i="8"/>
  <c r="E341" i="8"/>
  <c r="G340" i="8"/>
  <c r="F340" i="8"/>
  <c r="E340" i="8"/>
  <c r="G339" i="8"/>
  <c r="F339" i="8"/>
  <c r="E339" i="8"/>
  <c r="G338" i="8"/>
  <c r="F338" i="8"/>
  <c r="E338" i="8"/>
  <c r="G337" i="8"/>
  <c r="F337" i="8"/>
  <c r="E337" i="8"/>
  <c r="G336" i="8"/>
  <c r="F336" i="8"/>
  <c r="E336" i="8"/>
  <c r="G335" i="8"/>
  <c r="F335" i="8"/>
  <c r="E335" i="8"/>
  <c r="G334" i="8"/>
  <c r="F334" i="8"/>
  <c r="E334" i="8"/>
  <c r="G333" i="8"/>
  <c r="F333" i="8"/>
  <c r="E333" i="8"/>
  <c r="G332" i="8"/>
  <c r="F332" i="8"/>
  <c r="E332" i="8"/>
  <c r="G331" i="8"/>
  <c r="F331" i="8"/>
  <c r="E331" i="8"/>
  <c r="G330" i="8"/>
  <c r="F330" i="8"/>
  <c r="E330" i="8"/>
  <c r="G329" i="8"/>
  <c r="F329" i="8"/>
  <c r="E329" i="8"/>
  <c r="G328" i="8"/>
  <c r="F328" i="8"/>
  <c r="E328" i="8"/>
  <c r="G327" i="8"/>
  <c r="F327" i="8"/>
  <c r="E327" i="8"/>
  <c r="G326" i="8"/>
  <c r="F326" i="8"/>
  <c r="E326" i="8"/>
  <c r="G325" i="8"/>
  <c r="F325" i="8"/>
  <c r="E325" i="8"/>
  <c r="G324" i="8"/>
  <c r="F324" i="8"/>
  <c r="E324" i="8"/>
  <c r="G323" i="8"/>
  <c r="F323" i="8"/>
  <c r="E323" i="8"/>
  <c r="G322" i="8"/>
  <c r="F322" i="8"/>
  <c r="E322" i="8"/>
  <c r="G321" i="8"/>
  <c r="F321" i="8"/>
  <c r="E321" i="8"/>
  <c r="G320" i="8"/>
  <c r="F320" i="8"/>
  <c r="E320" i="8"/>
  <c r="G319" i="8"/>
  <c r="F319" i="8"/>
  <c r="E319" i="8"/>
  <c r="G318" i="8"/>
  <c r="F318" i="8"/>
  <c r="E318" i="8"/>
  <c r="G317" i="8"/>
  <c r="F317" i="8"/>
  <c r="E317" i="8"/>
  <c r="G316" i="8"/>
  <c r="F316" i="8"/>
  <c r="E316" i="8"/>
  <c r="G315" i="8"/>
  <c r="F315" i="8"/>
  <c r="E315" i="8"/>
  <c r="G314" i="8"/>
  <c r="F314" i="8"/>
  <c r="E314" i="8"/>
  <c r="G313" i="8"/>
  <c r="F313" i="8"/>
  <c r="E313" i="8"/>
  <c r="G312" i="8"/>
  <c r="F312" i="8"/>
  <c r="E312" i="8"/>
  <c r="G311" i="8"/>
  <c r="F311" i="8"/>
  <c r="E311" i="8"/>
  <c r="G310" i="8"/>
  <c r="F310" i="8"/>
  <c r="E310" i="8"/>
  <c r="G309" i="8"/>
  <c r="F309" i="8"/>
  <c r="E309" i="8"/>
  <c r="G308" i="8"/>
  <c r="F308" i="8"/>
  <c r="E308" i="8"/>
  <c r="G307" i="8"/>
  <c r="F307" i="8"/>
  <c r="E307" i="8"/>
  <c r="G306" i="8"/>
  <c r="F306" i="8"/>
  <c r="E306" i="8"/>
  <c r="G305" i="8"/>
  <c r="F305" i="8"/>
  <c r="E305" i="8"/>
  <c r="G304" i="8"/>
  <c r="F304" i="8"/>
  <c r="E304" i="8"/>
  <c r="G303" i="8"/>
  <c r="F303" i="8"/>
  <c r="E303" i="8"/>
  <c r="G302" i="8"/>
  <c r="F302" i="8"/>
  <c r="E302" i="8"/>
  <c r="G301" i="8"/>
  <c r="F301" i="8"/>
  <c r="E301" i="8"/>
  <c r="G300" i="8"/>
  <c r="F300" i="8"/>
  <c r="E300" i="8"/>
  <c r="G299" i="8"/>
  <c r="F299" i="8"/>
  <c r="E299" i="8"/>
  <c r="G298" i="8"/>
  <c r="F298" i="8"/>
  <c r="E298" i="8"/>
  <c r="G297" i="8"/>
  <c r="F297" i="8"/>
  <c r="E297" i="8"/>
  <c r="G296" i="8"/>
  <c r="F296" i="8"/>
  <c r="E296" i="8"/>
  <c r="G295" i="8"/>
  <c r="F295" i="8"/>
  <c r="E295" i="8"/>
  <c r="G294" i="8"/>
  <c r="F294" i="8"/>
  <c r="E294" i="8"/>
  <c r="G293" i="8"/>
  <c r="F293" i="8"/>
  <c r="E293" i="8"/>
  <c r="G292" i="8"/>
  <c r="F292" i="8"/>
  <c r="E292" i="8"/>
  <c r="G291" i="8"/>
  <c r="F291" i="8"/>
  <c r="E291" i="8"/>
  <c r="G290" i="8"/>
  <c r="F290" i="8"/>
  <c r="E290" i="8"/>
  <c r="G289" i="8"/>
  <c r="F289" i="8"/>
  <c r="E289" i="8"/>
  <c r="G288" i="8"/>
  <c r="F288" i="8"/>
  <c r="E288" i="8"/>
  <c r="G287" i="8"/>
  <c r="F287" i="8"/>
  <c r="E287" i="8"/>
  <c r="G286" i="8"/>
  <c r="F286" i="8"/>
  <c r="E286" i="8"/>
  <c r="G285" i="8"/>
  <c r="F285" i="8"/>
  <c r="E285" i="8"/>
  <c r="G284" i="8"/>
  <c r="F284" i="8"/>
  <c r="E284" i="8"/>
  <c r="G283" i="8"/>
  <c r="F283" i="8"/>
  <c r="E283" i="8"/>
  <c r="G282" i="8"/>
  <c r="F282" i="8"/>
  <c r="E282" i="8"/>
  <c r="G281" i="8"/>
  <c r="F281" i="8"/>
  <c r="E281" i="8"/>
  <c r="G280" i="8"/>
  <c r="F280" i="8"/>
  <c r="E280" i="8"/>
  <c r="G279" i="8"/>
  <c r="F279" i="8"/>
  <c r="E279" i="8"/>
  <c r="G278" i="8"/>
  <c r="F278" i="8"/>
  <c r="E278" i="8"/>
  <c r="G277" i="8"/>
  <c r="F277" i="8"/>
  <c r="E277" i="8"/>
  <c r="G276" i="8"/>
  <c r="F276" i="8"/>
  <c r="E276" i="8"/>
  <c r="G275" i="8"/>
  <c r="F275" i="8"/>
  <c r="E275" i="8"/>
  <c r="G274" i="8"/>
  <c r="F274" i="8"/>
  <c r="E274" i="8"/>
  <c r="G273" i="8"/>
  <c r="F273" i="8"/>
  <c r="E273" i="8"/>
  <c r="G272" i="8"/>
  <c r="F272" i="8"/>
  <c r="E272" i="8"/>
  <c r="G271" i="8"/>
  <c r="F271" i="8"/>
  <c r="E271" i="8"/>
  <c r="G270" i="8"/>
  <c r="F270" i="8"/>
  <c r="E270" i="8"/>
  <c r="G269" i="8"/>
  <c r="F269" i="8"/>
  <c r="E269" i="8"/>
  <c r="G268" i="8"/>
  <c r="F268" i="8"/>
  <c r="E268" i="8"/>
  <c r="G267" i="8"/>
  <c r="F267" i="8"/>
  <c r="E267" i="8"/>
  <c r="G266" i="8"/>
  <c r="F266" i="8"/>
  <c r="E266" i="8"/>
  <c r="G265" i="8"/>
  <c r="F265" i="8"/>
  <c r="E265" i="8"/>
  <c r="G264" i="8"/>
  <c r="F264" i="8"/>
  <c r="E264" i="8"/>
  <c r="G263" i="8"/>
  <c r="F263" i="8"/>
  <c r="E263" i="8"/>
  <c r="G262" i="8"/>
  <c r="F262" i="8"/>
  <c r="E262" i="8"/>
  <c r="G261" i="8"/>
  <c r="F261" i="8"/>
  <c r="E261" i="8"/>
  <c r="G260" i="8"/>
  <c r="F260" i="8"/>
  <c r="E260" i="8"/>
  <c r="G259" i="8"/>
  <c r="F259" i="8"/>
  <c r="E259" i="8"/>
  <c r="G258" i="8"/>
  <c r="F258" i="8"/>
  <c r="E258" i="8"/>
  <c r="G257" i="8"/>
  <c r="F257" i="8"/>
  <c r="E257" i="8"/>
  <c r="G256" i="8"/>
  <c r="F256" i="8"/>
  <c r="E256" i="8"/>
  <c r="G255" i="8"/>
  <c r="F255" i="8"/>
  <c r="E255" i="8"/>
  <c r="G254" i="8"/>
  <c r="F254" i="8"/>
  <c r="E254" i="8"/>
  <c r="G253" i="8"/>
  <c r="F253" i="8"/>
  <c r="E253" i="8"/>
  <c r="G252" i="8"/>
  <c r="F252" i="8"/>
  <c r="E252" i="8"/>
  <c r="G251" i="8"/>
  <c r="F251" i="8"/>
  <c r="E251" i="8"/>
  <c r="G250" i="8"/>
  <c r="F250" i="8"/>
  <c r="E250" i="8"/>
  <c r="G249" i="8"/>
  <c r="F249" i="8"/>
  <c r="E249" i="8"/>
  <c r="G248" i="8"/>
  <c r="F248" i="8"/>
  <c r="E248" i="8"/>
  <c r="G247" i="8"/>
  <c r="F247" i="8"/>
  <c r="E247" i="8"/>
  <c r="G246" i="8"/>
  <c r="F246" i="8"/>
  <c r="E246" i="8"/>
  <c r="G245" i="8"/>
  <c r="F245" i="8"/>
  <c r="E245" i="8"/>
  <c r="G244" i="8"/>
  <c r="F244" i="8"/>
  <c r="E244" i="8"/>
  <c r="G243" i="8"/>
  <c r="F243" i="8"/>
  <c r="E243" i="8"/>
  <c r="G242" i="8"/>
  <c r="F242" i="8"/>
  <c r="E242" i="8"/>
  <c r="G241" i="8"/>
  <c r="F241" i="8"/>
  <c r="E241" i="8"/>
  <c r="G240" i="8"/>
  <c r="F240" i="8"/>
  <c r="E240" i="8"/>
  <c r="G239" i="8"/>
  <c r="F239" i="8"/>
  <c r="E239" i="8"/>
  <c r="G238" i="8"/>
  <c r="F238" i="8"/>
  <c r="E238" i="8"/>
  <c r="G237" i="8"/>
  <c r="F237" i="8"/>
  <c r="E237" i="8"/>
  <c r="G236" i="8"/>
  <c r="F236" i="8"/>
  <c r="E236" i="8"/>
  <c r="G235" i="8"/>
  <c r="F235" i="8"/>
  <c r="E235" i="8"/>
  <c r="G234" i="8"/>
  <c r="F234" i="8"/>
  <c r="E234" i="8"/>
  <c r="G233" i="8"/>
  <c r="F233" i="8"/>
  <c r="E233" i="8"/>
  <c r="G232" i="8"/>
  <c r="F232" i="8"/>
  <c r="E232" i="8"/>
  <c r="G231" i="8"/>
  <c r="F231" i="8"/>
  <c r="E231" i="8"/>
  <c r="G230" i="8"/>
  <c r="F230" i="8"/>
  <c r="E230" i="8"/>
  <c r="G229" i="8"/>
  <c r="F229" i="8"/>
  <c r="E229" i="8"/>
  <c r="G228" i="8"/>
  <c r="F228" i="8"/>
  <c r="E228" i="8"/>
  <c r="G227" i="8"/>
  <c r="F227" i="8"/>
  <c r="E227" i="8"/>
  <c r="G226" i="8"/>
  <c r="F226" i="8"/>
  <c r="E226" i="8"/>
  <c r="G225" i="8"/>
  <c r="F225" i="8"/>
  <c r="E225" i="8"/>
  <c r="G224" i="8"/>
  <c r="F224" i="8"/>
  <c r="E224" i="8"/>
  <c r="G223" i="8"/>
  <c r="F223" i="8"/>
  <c r="E223" i="8"/>
  <c r="G222" i="8"/>
  <c r="F222" i="8"/>
  <c r="E222" i="8"/>
  <c r="G221" i="8"/>
  <c r="F221" i="8"/>
  <c r="E221" i="8"/>
  <c r="G220" i="8"/>
  <c r="F220" i="8"/>
  <c r="E220" i="8"/>
  <c r="G219" i="8"/>
  <c r="F219" i="8"/>
  <c r="E219" i="8"/>
  <c r="G218" i="8"/>
  <c r="F218" i="8"/>
  <c r="E218" i="8"/>
  <c r="G217" i="8"/>
  <c r="F217" i="8"/>
  <c r="E217" i="8"/>
  <c r="G216" i="8"/>
  <c r="F216" i="8"/>
  <c r="E216" i="8"/>
  <c r="G215" i="8"/>
  <c r="F215" i="8"/>
  <c r="E215" i="8"/>
  <c r="G214" i="8"/>
  <c r="F214" i="8"/>
  <c r="E214" i="8"/>
  <c r="G213" i="8"/>
  <c r="F213" i="8"/>
  <c r="E213" i="8"/>
  <c r="G212" i="8"/>
  <c r="F212" i="8"/>
  <c r="E212" i="8"/>
  <c r="G211" i="8"/>
  <c r="F211" i="8"/>
  <c r="E211" i="8"/>
  <c r="G210" i="8"/>
  <c r="F210" i="8"/>
  <c r="E210" i="8"/>
  <c r="G209" i="8"/>
  <c r="F209" i="8"/>
  <c r="E209" i="8"/>
  <c r="G208" i="8"/>
  <c r="F208" i="8"/>
  <c r="E208" i="8"/>
  <c r="G207" i="8"/>
  <c r="F207" i="8"/>
  <c r="E207" i="8"/>
  <c r="G206" i="8"/>
  <c r="F206" i="8"/>
  <c r="E206" i="8"/>
  <c r="G205" i="8"/>
  <c r="F205" i="8"/>
  <c r="E205" i="8"/>
  <c r="G204" i="8"/>
  <c r="F204" i="8"/>
  <c r="E204" i="8"/>
  <c r="G203" i="8"/>
  <c r="F203" i="8"/>
  <c r="E203" i="8"/>
  <c r="G202" i="8"/>
  <c r="F202" i="8"/>
  <c r="E202" i="8"/>
  <c r="G201" i="8"/>
  <c r="F201" i="8"/>
  <c r="E201" i="8"/>
  <c r="G200" i="8"/>
  <c r="F200" i="8"/>
  <c r="E200" i="8"/>
  <c r="G199" i="8"/>
  <c r="F199" i="8"/>
  <c r="E199" i="8"/>
  <c r="G198" i="8"/>
  <c r="F198" i="8"/>
  <c r="E198" i="8"/>
  <c r="G197" i="8"/>
  <c r="F197" i="8"/>
  <c r="E197" i="8"/>
  <c r="G196" i="8"/>
  <c r="F196" i="8"/>
  <c r="E196" i="8"/>
  <c r="G195" i="8"/>
  <c r="F195" i="8"/>
  <c r="E195" i="8"/>
  <c r="G194" i="8"/>
  <c r="F194" i="8"/>
  <c r="E194" i="8"/>
  <c r="G193" i="8"/>
  <c r="F193" i="8"/>
  <c r="E193" i="8"/>
  <c r="G192" i="8"/>
  <c r="F192" i="8"/>
  <c r="E192" i="8"/>
  <c r="G191" i="8"/>
  <c r="F191" i="8"/>
  <c r="E191" i="8"/>
  <c r="G190" i="8"/>
  <c r="F190" i="8"/>
  <c r="E190" i="8"/>
  <c r="G189" i="8"/>
  <c r="F189" i="8"/>
  <c r="E189" i="8"/>
  <c r="G188" i="8"/>
  <c r="F188" i="8"/>
  <c r="E188" i="8"/>
  <c r="G187" i="8"/>
  <c r="F187" i="8"/>
  <c r="E187" i="8"/>
  <c r="G186" i="8"/>
  <c r="F186" i="8"/>
  <c r="E186" i="8"/>
  <c r="G185" i="8"/>
  <c r="F185" i="8"/>
  <c r="E185" i="8"/>
  <c r="G184" i="8"/>
  <c r="F184" i="8"/>
  <c r="E184" i="8"/>
  <c r="G183" i="8"/>
  <c r="F183" i="8"/>
  <c r="E183" i="8"/>
  <c r="G182" i="8"/>
  <c r="F182" i="8"/>
  <c r="E182" i="8"/>
  <c r="G181" i="8"/>
  <c r="F181" i="8"/>
  <c r="E181" i="8"/>
  <c r="G180" i="8"/>
  <c r="F180" i="8"/>
  <c r="E180" i="8"/>
  <c r="G179" i="8"/>
  <c r="F179" i="8"/>
  <c r="E179" i="8"/>
  <c r="G178" i="8"/>
  <c r="F178" i="8"/>
  <c r="E178" i="8"/>
  <c r="G177" i="8"/>
  <c r="F177" i="8"/>
  <c r="E177" i="8"/>
  <c r="G176" i="8"/>
  <c r="F176" i="8"/>
  <c r="E176" i="8"/>
  <c r="G175" i="8"/>
  <c r="F175" i="8"/>
  <c r="E175" i="8"/>
  <c r="G174" i="8"/>
  <c r="F174" i="8"/>
  <c r="E174" i="8"/>
  <c r="G173" i="8"/>
  <c r="F173" i="8"/>
  <c r="E173" i="8"/>
  <c r="G172" i="8"/>
  <c r="F172" i="8"/>
  <c r="E172" i="8"/>
  <c r="G171" i="8"/>
  <c r="F171" i="8"/>
  <c r="E171" i="8"/>
  <c r="G170" i="8"/>
  <c r="F170" i="8"/>
  <c r="E170" i="8"/>
  <c r="G169" i="8"/>
  <c r="F169" i="8"/>
  <c r="E169" i="8"/>
  <c r="G168" i="8"/>
  <c r="F168" i="8"/>
  <c r="E168" i="8"/>
  <c r="G167" i="8"/>
  <c r="F167" i="8"/>
  <c r="E167" i="8"/>
  <c r="G166" i="8"/>
  <c r="F166" i="8"/>
  <c r="E166" i="8"/>
  <c r="G165" i="8"/>
  <c r="F165" i="8"/>
  <c r="E165" i="8"/>
  <c r="G164" i="8"/>
  <c r="F164" i="8"/>
  <c r="E164" i="8"/>
  <c r="G163" i="8"/>
  <c r="F163" i="8"/>
  <c r="E163" i="8"/>
  <c r="G162" i="8"/>
  <c r="F162" i="8"/>
  <c r="E162" i="8"/>
  <c r="G161" i="8"/>
  <c r="F161" i="8"/>
  <c r="E161" i="8"/>
  <c r="G160" i="8"/>
  <c r="F160" i="8"/>
  <c r="E160" i="8"/>
  <c r="G159" i="8"/>
  <c r="F159" i="8"/>
  <c r="E159" i="8"/>
  <c r="G158" i="8"/>
  <c r="F158" i="8"/>
  <c r="E158" i="8"/>
  <c r="G157" i="8"/>
  <c r="F157" i="8"/>
  <c r="E157" i="8"/>
  <c r="G156" i="8"/>
  <c r="F156" i="8"/>
  <c r="E156" i="8"/>
  <c r="G155" i="8"/>
  <c r="F155" i="8"/>
  <c r="E155" i="8"/>
  <c r="G154" i="8"/>
  <c r="F154" i="8"/>
  <c r="E154" i="8"/>
  <c r="G153" i="8"/>
  <c r="F153" i="8"/>
  <c r="E153" i="8"/>
  <c r="G152" i="8"/>
  <c r="F152" i="8"/>
  <c r="E152" i="8"/>
  <c r="G151" i="8"/>
  <c r="F151" i="8"/>
  <c r="E151" i="8"/>
  <c r="G150" i="8"/>
  <c r="F150" i="8"/>
  <c r="E150" i="8"/>
  <c r="G149" i="8"/>
  <c r="F149" i="8"/>
  <c r="E149" i="8"/>
  <c r="G148" i="8"/>
  <c r="F148" i="8"/>
  <c r="E148" i="8"/>
  <c r="G147" i="8"/>
  <c r="F147" i="8"/>
  <c r="E147" i="8"/>
  <c r="G146" i="8"/>
  <c r="F146" i="8"/>
  <c r="E146" i="8"/>
  <c r="G145" i="8"/>
  <c r="F145" i="8"/>
  <c r="E145" i="8"/>
  <c r="G144" i="8"/>
  <c r="F144" i="8"/>
  <c r="E144" i="8"/>
  <c r="G143" i="8"/>
  <c r="F143" i="8"/>
  <c r="E143" i="8"/>
  <c r="G142" i="8"/>
  <c r="F142" i="8"/>
  <c r="E142" i="8"/>
  <c r="G141" i="8"/>
  <c r="F141" i="8"/>
  <c r="E141" i="8"/>
  <c r="G140" i="8"/>
  <c r="F140" i="8"/>
  <c r="E140" i="8"/>
  <c r="G139" i="8"/>
  <c r="F139" i="8"/>
  <c r="E139" i="8"/>
  <c r="G138" i="8"/>
  <c r="F138" i="8"/>
  <c r="E138" i="8"/>
  <c r="G137" i="8"/>
  <c r="F137" i="8"/>
  <c r="E137" i="8"/>
  <c r="G136" i="8"/>
  <c r="F136" i="8"/>
  <c r="E136" i="8"/>
  <c r="G135" i="8"/>
  <c r="F135" i="8"/>
  <c r="E135" i="8"/>
  <c r="G134" i="8"/>
  <c r="F134" i="8"/>
  <c r="E134" i="8"/>
  <c r="G133" i="8"/>
  <c r="F133" i="8"/>
  <c r="E133" i="8"/>
  <c r="G132" i="8"/>
  <c r="F132" i="8"/>
  <c r="E132" i="8"/>
  <c r="G131" i="8"/>
  <c r="F131" i="8"/>
  <c r="E131" i="8"/>
  <c r="G130" i="8"/>
  <c r="F130" i="8"/>
  <c r="E130" i="8"/>
  <c r="G129" i="8"/>
  <c r="F129" i="8"/>
  <c r="E129" i="8"/>
  <c r="G128" i="8"/>
  <c r="F128" i="8"/>
  <c r="E128" i="8"/>
  <c r="G127" i="8"/>
  <c r="F127" i="8"/>
  <c r="E127" i="8"/>
  <c r="G126" i="8"/>
  <c r="F126" i="8"/>
  <c r="E126" i="8"/>
  <c r="G125" i="8"/>
  <c r="F125" i="8"/>
  <c r="E125" i="8"/>
  <c r="G124" i="8"/>
  <c r="F124" i="8"/>
  <c r="E124" i="8"/>
  <c r="G123" i="8"/>
  <c r="F123" i="8"/>
  <c r="E123" i="8"/>
  <c r="G122" i="8"/>
  <c r="F122" i="8"/>
  <c r="E122" i="8"/>
  <c r="G121" i="8"/>
  <c r="F121" i="8"/>
  <c r="E121" i="8"/>
  <c r="G120" i="8"/>
  <c r="F120" i="8"/>
  <c r="E120" i="8"/>
  <c r="G119" i="8"/>
  <c r="F119" i="8"/>
  <c r="E119" i="8"/>
  <c r="G118" i="8"/>
  <c r="F118" i="8"/>
  <c r="E118" i="8"/>
  <c r="G117" i="8"/>
  <c r="F117" i="8"/>
  <c r="E117" i="8"/>
  <c r="G116" i="8"/>
  <c r="F116" i="8"/>
  <c r="E116" i="8"/>
  <c r="G115" i="8"/>
  <c r="F115" i="8"/>
  <c r="E115" i="8"/>
  <c r="G114" i="8"/>
  <c r="F114" i="8"/>
  <c r="E114" i="8"/>
  <c r="G113" i="8"/>
  <c r="F113" i="8"/>
  <c r="E113" i="8"/>
  <c r="G112" i="8"/>
  <c r="F112" i="8"/>
  <c r="E112" i="8"/>
  <c r="G111" i="8"/>
  <c r="F111" i="8"/>
  <c r="E111" i="8"/>
  <c r="G110" i="8"/>
  <c r="F110" i="8"/>
  <c r="E110" i="8"/>
  <c r="G109" i="8"/>
  <c r="F109" i="8"/>
  <c r="E109" i="8"/>
  <c r="G108" i="8"/>
  <c r="F108" i="8"/>
  <c r="E108" i="8"/>
  <c r="G107" i="8"/>
  <c r="F107" i="8"/>
  <c r="E107" i="8"/>
  <c r="G106" i="8"/>
  <c r="F106" i="8"/>
  <c r="E106" i="8"/>
  <c r="G105" i="8"/>
  <c r="F105" i="8"/>
  <c r="E105" i="8"/>
  <c r="G104" i="8"/>
  <c r="F104" i="8"/>
  <c r="E104" i="8"/>
  <c r="G103" i="8"/>
  <c r="F103" i="8"/>
  <c r="E103" i="8"/>
  <c r="G102" i="8"/>
  <c r="F102" i="8"/>
  <c r="E102" i="8"/>
  <c r="G101" i="8"/>
  <c r="F101" i="8"/>
  <c r="E101" i="8"/>
  <c r="G100" i="8"/>
  <c r="F100" i="8"/>
  <c r="E100" i="8"/>
  <c r="G99" i="8"/>
  <c r="F99" i="8"/>
  <c r="E99" i="8"/>
  <c r="G98" i="8"/>
  <c r="F98" i="8"/>
  <c r="E98" i="8"/>
  <c r="G97" i="8"/>
  <c r="F97" i="8"/>
  <c r="E97" i="8"/>
  <c r="G96" i="8"/>
  <c r="F96" i="8"/>
  <c r="E96" i="8"/>
  <c r="G95" i="8"/>
  <c r="F95" i="8"/>
  <c r="E95" i="8"/>
  <c r="G94" i="8"/>
  <c r="F94" i="8"/>
  <c r="E94" i="8"/>
  <c r="G93" i="8"/>
  <c r="F93" i="8"/>
  <c r="E93" i="8"/>
  <c r="G92" i="8"/>
  <c r="F92" i="8"/>
  <c r="E92" i="8"/>
  <c r="G91" i="8"/>
  <c r="F91" i="8"/>
  <c r="E91" i="8"/>
  <c r="G90" i="8"/>
  <c r="F90" i="8"/>
  <c r="E90" i="8"/>
  <c r="G89" i="8"/>
  <c r="F89" i="8"/>
  <c r="E89" i="8"/>
  <c r="G88" i="8"/>
  <c r="F88" i="8"/>
  <c r="E88" i="8"/>
  <c r="G87" i="8"/>
  <c r="F87" i="8"/>
  <c r="E87" i="8"/>
  <c r="G86" i="8"/>
  <c r="F86" i="8"/>
  <c r="E86" i="8"/>
  <c r="G85" i="8"/>
  <c r="F85" i="8"/>
  <c r="E85" i="8"/>
  <c r="G84" i="8"/>
  <c r="F84" i="8"/>
  <c r="E84" i="8"/>
  <c r="G83" i="8"/>
  <c r="F83" i="8"/>
  <c r="E83" i="8"/>
  <c r="G82" i="8"/>
  <c r="F82" i="8"/>
  <c r="E82" i="8"/>
  <c r="G81" i="8"/>
  <c r="F81" i="8"/>
  <c r="E81" i="8"/>
  <c r="G80" i="8"/>
  <c r="F80" i="8"/>
  <c r="E80" i="8"/>
  <c r="G79" i="8"/>
  <c r="F79" i="8"/>
  <c r="E79" i="8"/>
  <c r="G78" i="8"/>
  <c r="F78" i="8"/>
  <c r="E78" i="8"/>
  <c r="G77" i="8"/>
  <c r="F77" i="8"/>
  <c r="E77" i="8"/>
  <c r="G76" i="8"/>
  <c r="F76" i="8"/>
  <c r="E76" i="8"/>
  <c r="G75" i="8"/>
  <c r="F75" i="8"/>
  <c r="E75" i="8"/>
  <c r="G74" i="8"/>
  <c r="F74" i="8"/>
  <c r="E74" i="8"/>
  <c r="G73" i="8"/>
  <c r="F73" i="8"/>
  <c r="E73" i="8"/>
  <c r="G72" i="8"/>
  <c r="F72" i="8"/>
  <c r="E72" i="8"/>
  <c r="G71" i="8"/>
  <c r="F71" i="8"/>
  <c r="E71" i="8"/>
  <c r="G70" i="8"/>
  <c r="F70" i="8"/>
  <c r="E70" i="8"/>
  <c r="G69" i="8"/>
  <c r="F69" i="8"/>
  <c r="E69" i="8"/>
  <c r="G68" i="8"/>
  <c r="F68" i="8"/>
  <c r="E68" i="8"/>
  <c r="G67" i="8"/>
  <c r="F67" i="8"/>
  <c r="E67" i="8"/>
  <c r="G66" i="8"/>
  <c r="F66" i="8"/>
  <c r="E66" i="8"/>
  <c r="G65" i="8"/>
  <c r="F65" i="8"/>
  <c r="E65" i="8"/>
  <c r="G64" i="8"/>
  <c r="F64" i="8"/>
  <c r="E64" i="8"/>
  <c r="G63" i="8"/>
  <c r="F63" i="8"/>
  <c r="E63" i="8"/>
  <c r="G62" i="8"/>
  <c r="F62" i="8"/>
  <c r="E62" i="8"/>
  <c r="G61" i="8"/>
  <c r="F61" i="8"/>
  <c r="E61" i="8"/>
  <c r="G60" i="8"/>
  <c r="F60" i="8"/>
  <c r="E60" i="8"/>
  <c r="G59" i="8"/>
  <c r="F59" i="8"/>
  <c r="E59" i="8"/>
  <c r="G58" i="8"/>
  <c r="F58" i="8"/>
  <c r="E58" i="8"/>
  <c r="G57" i="8"/>
  <c r="F57" i="8"/>
  <c r="E57" i="8"/>
  <c r="G56" i="8"/>
  <c r="F56" i="8"/>
  <c r="E56" i="8"/>
  <c r="G55" i="8"/>
  <c r="F55" i="8"/>
  <c r="E55" i="8"/>
  <c r="G54" i="8"/>
  <c r="F54" i="8"/>
  <c r="E54" i="8"/>
  <c r="G53" i="8"/>
  <c r="F53" i="8"/>
  <c r="E53" i="8"/>
  <c r="G52" i="8"/>
  <c r="F52" i="8"/>
  <c r="E52" i="8"/>
  <c r="G51" i="8"/>
  <c r="F51" i="8"/>
  <c r="E51" i="8"/>
  <c r="G50" i="8"/>
  <c r="F50" i="8"/>
  <c r="E50" i="8"/>
  <c r="G49" i="8"/>
  <c r="F49" i="8"/>
  <c r="E49" i="8"/>
  <c r="G48" i="8"/>
  <c r="F48" i="8"/>
  <c r="E48" i="8"/>
  <c r="G47" i="8"/>
  <c r="F47" i="8"/>
  <c r="E47" i="8"/>
  <c r="G46" i="8"/>
  <c r="F46" i="8"/>
  <c r="E46" i="8"/>
  <c r="G45" i="8"/>
  <c r="F45" i="8"/>
  <c r="E45" i="8"/>
  <c r="G44" i="8"/>
  <c r="F44" i="8"/>
  <c r="E44" i="8"/>
  <c r="G43" i="8"/>
  <c r="F43" i="8"/>
  <c r="E43" i="8"/>
  <c r="G42" i="8"/>
  <c r="F42" i="8"/>
  <c r="E42" i="8"/>
  <c r="G41" i="8"/>
  <c r="F41" i="8"/>
  <c r="E41" i="8"/>
  <c r="G40" i="8"/>
  <c r="F40" i="8"/>
  <c r="E40" i="8"/>
  <c r="G39" i="8"/>
  <c r="F39" i="8"/>
  <c r="E39" i="8"/>
  <c r="G38" i="8"/>
  <c r="F38" i="8"/>
  <c r="E38" i="8"/>
  <c r="G37" i="8"/>
  <c r="F37" i="8"/>
  <c r="E37" i="8"/>
  <c r="G36" i="8"/>
  <c r="F36" i="8"/>
  <c r="E36" i="8"/>
  <c r="G35" i="8"/>
  <c r="F35" i="8"/>
  <c r="E35" i="8"/>
  <c r="G34" i="8"/>
  <c r="F34" i="8"/>
  <c r="E34" i="8"/>
  <c r="G33" i="8"/>
  <c r="F33" i="8"/>
  <c r="E33" i="8"/>
  <c r="G32" i="8"/>
  <c r="F32" i="8"/>
  <c r="E32" i="8"/>
  <c r="G31" i="8"/>
  <c r="F31" i="8"/>
  <c r="E31" i="8"/>
  <c r="G30" i="8"/>
  <c r="F30" i="8"/>
  <c r="E30" i="8"/>
  <c r="G29" i="8"/>
  <c r="F29" i="8"/>
  <c r="E29" i="8"/>
  <c r="G28" i="8"/>
  <c r="F28" i="8"/>
  <c r="E28" i="8"/>
  <c r="G27" i="8"/>
  <c r="F27" i="8"/>
  <c r="E27" i="8"/>
  <c r="G26" i="8"/>
  <c r="F26" i="8"/>
  <c r="E26" i="8"/>
  <c r="G25" i="8"/>
  <c r="F25" i="8"/>
  <c r="E25" i="8"/>
  <c r="G24" i="8"/>
  <c r="F24" i="8"/>
  <c r="E24" i="8"/>
  <c r="G23" i="8"/>
  <c r="F23" i="8"/>
  <c r="E23" i="8"/>
  <c r="G22" i="8"/>
  <c r="F22" i="8"/>
  <c r="E22" i="8"/>
  <c r="G21" i="8"/>
  <c r="F21" i="8"/>
  <c r="E21" i="8"/>
  <c r="G20" i="8"/>
  <c r="F20" i="8"/>
  <c r="E20" i="8"/>
  <c r="G19" i="8"/>
  <c r="F19" i="8"/>
  <c r="E19" i="8"/>
  <c r="G18" i="8"/>
  <c r="F18" i="8"/>
  <c r="E18" i="8"/>
  <c r="G17" i="8"/>
  <c r="F17" i="8"/>
  <c r="E17" i="8"/>
  <c r="G16" i="8"/>
  <c r="F16" i="8"/>
  <c r="E16" i="8"/>
  <c r="G15" i="8"/>
  <c r="F15" i="8"/>
  <c r="E15" i="8"/>
  <c r="G14" i="8"/>
  <c r="F14" i="8"/>
  <c r="E14" i="8"/>
  <c r="G13" i="8"/>
  <c r="F13" i="8"/>
  <c r="E13" i="8"/>
  <c r="G12" i="8"/>
  <c r="F12" i="8"/>
  <c r="E12" i="8"/>
  <c r="G11" i="8"/>
  <c r="F11" i="8"/>
  <c r="E11" i="8"/>
  <c r="G10" i="8"/>
  <c r="F10" i="8"/>
  <c r="E10" i="8"/>
  <c r="G9" i="8"/>
  <c r="F9" i="8"/>
  <c r="E9" i="8"/>
  <c r="G8" i="8"/>
  <c r="F8" i="8"/>
  <c r="E8" i="8"/>
  <c r="G7" i="8"/>
  <c r="F7" i="8"/>
  <c r="E7" i="8"/>
  <c r="G6" i="8"/>
  <c r="F6" i="8"/>
  <c r="E6" i="8"/>
  <c r="G5" i="8"/>
  <c r="F5" i="8"/>
  <c r="E5" i="8"/>
  <c r="G4" i="8"/>
  <c r="F4" i="8"/>
  <c r="E4" i="8"/>
  <c r="G3" i="8"/>
  <c r="F3" i="8"/>
  <c r="E3" i="8"/>
  <c r="G2" i="8"/>
  <c r="F2" i="8"/>
  <c r="E2" i="8"/>
  <c r="P20" i="4"/>
  <c r="P19" i="4"/>
  <c r="P17" i="4"/>
  <c r="P16" i="4"/>
  <c r="P15" i="4"/>
  <c r="P14" i="4"/>
  <c r="P13" i="4"/>
  <c r="P12" i="4"/>
  <c r="P11" i="4"/>
  <c r="AC11" i="4" s="1"/>
  <c r="P10" i="4"/>
  <c r="AD10" i="4" s="1"/>
  <c r="P9" i="4"/>
  <c r="AC9" i="4" s="1"/>
  <c r="P8" i="4"/>
  <c r="AC8" i="4" s="1"/>
  <c r="P7" i="4"/>
  <c r="AC7" i="4" s="1"/>
  <c r="P6" i="4"/>
  <c r="AD6" i="4" s="1"/>
  <c r="P5" i="4"/>
  <c r="AC5" i="4" s="1"/>
  <c r="P4" i="4"/>
  <c r="AC4" i="4" s="1"/>
  <c r="P3" i="4"/>
  <c r="AC3" i="4" s="1"/>
  <c r="B23" i="1"/>
  <c r="B22" i="1"/>
  <c r="B21" i="1"/>
  <c r="B20" i="1"/>
  <c r="B19" i="1"/>
  <c r="B18" i="1"/>
  <c r="B17" i="1"/>
  <c r="B16" i="1"/>
  <c r="B15" i="1"/>
  <c r="B14" i="1"/>
  <c r="B13" i="1"/>
  <c r="B12" i="1"/>
  <c r="B11" i="1"/>
  <c r="B10" i="1"/>
  <c r="B9" i="1"/>
  <c r="B8" i="1"/>
  <c r="B7" i="1"/>
  <c r="B6" i="1"/>
  <c r="B5" i="1"/>
  <c r="B4" i="1"/>
  <c r="B3" i="1"/>
  <c r="B2" i="1"/>
  <c r="K21" i="4" l="1"/>
  <c r="D21" i="4"/>
  <c r="L21" i="4"/>
  <c r="E21" i="4"/>
  <c r="J21" i="4"/>
  <c r="N21" i="4"/>
  <c r="F21" i="4"/>
  <c r="M21" i="4"/>
  <c r="G21" i="4"/>
  <c r="H21" i="4"/>
  <c r="I21" i="4"/>
  <c r="I8" i="4"/>
  <c r="AD8" i="4"/>
  <c r="AD11" i="4"/>
  <c r="AD7" i="4"/>
  <c r="AD4" i="4"/>
  <c r="AD5" i="4"/>
  <c r="AD3" i="4"/>
  <c r="AD9" i="4"/>
  <c r="L6" i="4"/>
  <c r="F8" i="4"/>
  <c r="I15" i="4"/>
  <c r="L18" i="4"/>
  <c r="I19" i="4"/>
  <c r="F20" i="4"/>
  <c r="J3" i="4"/>
  <c r="G4" i="4"/>
  <c r="D5" i="4"/>
  <c r="AB5" i="4"/>
  <c r="M6" i="4"/>
  <c r="J7" i="4"/>
  <c r="G8" i="4"/>
  <c r="D9" i="4"/>
  <c r="AB9" i="4"/>
  <c r="M10" i="4"/>
  <c r="J11" i="4"/>
  <c r="G12" i="4"/>
  <c r="D13" i="4"/>
  <c r="M14" i="4"/>
  <c r="J15" i="4"/>
  <c r="G16" i="4"/>
  <c r="D17" i="4"/>
  <c r="M18" i="4"/>
  <c r="J19" i="4"/>
  <c r="G20" i="4"/>
  <c r="I11" i="4"/>
  <c r="F12" i="4"/>
  <c r="L14" i="4"/>
  <c r="F16" i="4"/>
  <c r="K3" i="4"/>
  <c r="H4" i="4"/>
  <c r="E5" i="4"/>
  <c r="N6" i="4"/>
  <c r="K7" i="4"/>
  <c r="H8" i="4"/>
  <c r="E9" i="4"/>
  <c r="N10" i="4"/>
  <c r="K11" i="4"/>
  <c r="H12" i="4"/>
  <c r="E13" i="4"/>
  <c r="N14" i="4"/>
  <c r="K15" i="4"/>
  <c r="H16" i="4"/>
  <c r="E17" i="4"/>
  <c r="N18" i="4"/>
  <c r="K19" i="4"/>
  <c r="H20" i="4"/>
  <c r="I3" i="4"/>
  <c r="I20" i="4"/>
  <c r="L11" i="4"/>
  <c r="F13" i="4"/>
  <c r="I16" i="4"/>
  <c r="J4" i="4"/>
  <c r="AB6" i="4"/>
  <c r="J8" i="4"/>
  <c r="G9" i="4"/>
  <c r="D10" i="4"/>
  <c r="J12" i="4"/>
  <c r="G13" i="4"/>
  <c r="D14" i="4"/>
  <c r="M15" i="4"/>
  <c r="J16" i="4"/>
  <c r="G17" i="4"/>
  <c r="D18" i="4"/>
  <c r="M19" i="4"/>
  <c r="J20" i="4"/>
  <c r="I4" i="4"/>
  <c r="I12" i="4"/>
  <c r="M3" i="4"/>
  <c r="M11" i="4"/>
  <c r="N3" i="4"/>
  <c r="K4" i="4"/>
  <c r="H5" i="4"/>
  <c r="E6" i="4"/>
  <c r="AC6" i="4"/>
  <c r="N7" i="4"/>
  <c r="K8" i="4"/>
  <c r="H9" i="4"/>
  <c r="E10" i="4"/>
  <c r="AC10" i="4"/>
  <c r="N11" i="4"/>
  <c r="K12" i="4"/>
  <c r="H13" i="4"/>
  <c r="E14" i="4"/>
  <c r="N15" i="4"/>
  <c r="K16" i="4"/>
  <c r="H17" i="4"/>
  <c r="E18" i="4"/>
  <c r="N19" i="4"/>
  <c r="K20" i="4"/>
  <c r="L3" i="4"/>
  <c r="L7" i="4"/>
  <c r="F9" i="4"/>
  <c r="L19" i="4"/>
  <c r="G5" i="4"/>
  <c r="D6" i="4"/>
  <c r="M7" i="4"/>
  <c r="AB10" i="4"/>
  <c r="L4" i="4"/>
  <c r="I5" i="4"/>
  <c r="F6" i="4"/>
  <c r="L8" i="4"/>
  <c r="I9" i="4"/>
  <c r="F10" i="4"/>
  <c r="L12" i="4"/>
  <c r="I13" i="4"/>
  <c r="F14" i="4"/>
  <c r="L16" i="4"/>
  <c r="I17" i="4"/>
  <c r="F18" i="4"/>
  <c r="L20" i="4"/>
  <c r="D3" i="4"/>
  <c r="AB3" i="4"/>
  <c r="M4" i="4"/>
  <c r="J5" i="4"/>
  <c r="G6" i="4"/>
  <c r="D7" i="4"/>
  <c r="AB7" i="4"/>
  <c r="M8" i="4"/>
  <c r="J9" i="4"/>
  <c r="G10" i="4"/>
  <c r="D11" i="4"/>
  <c r="AB11" i="4"/>
  <c r="M12" i="4"/>
  <c r="J13" i="4"/>
  <c r="G14" i="4"/>
  <c r="D15" i="4"/>
  <c r="M16" i="4"/>
  <c r="J17" i="4"/>
  <c r="G18" i="4"/>
  <c r="D19" i="4"/>
  <c r="M20" i="4"/>
  <c r="F3" i="4"/>
  <c r="F4" i="4"/>
  <c r="I7" i="4"/>
  <c r="F5" i="4"/>
  <c r="L15" i="4"/>
  <c r="F17" i="4"/>
  <c r="E3" i="4"/>
  <c r="N4" i="4"/>
  <c r="K5" i="4"/>
  <c r="H6" i="4"/>
  <c r="E7" i="4"/>
  <c r="N8" i="4"/>
  <c r="K9" i="4"/>
  <c r="H10" i="4"/>
  <c r="E11" i="4"/>
  <c r="N12" i="4"/>
  <c r="K13" i="4"/>
  <c r="H14" i="4"/>
  <c r="E15" i="4"/>
  <c r="N16" i="4"/>
  <c r="K17" i="4"/>
  <c r="H18" i="4"/>
  <c r="E19" i="4"/>
  <c r="N20" i="4"/>
  <c r="L5" i="4"/>
  <c r="L9" i="4"/>
  <c r="I18" i="4"/>
  <c r="F19" i="4"/>
  <c r="L13" i="4"/>
  <c r="F15" i="4"/>
  <c r="G3" i="4"/>
  <c r="D4" i="4"/>
  <c r="AB4" i="4"/>
  <c r="M5" i="4"/>
  <c r="J6" i="4"/>
  <c r="G7" i="4"/>
  <c r="D8" i="4"/>
  <c r="AB8" i="4"/>
  <c r="M9" i="4"/>
  <c r="J10" i="4"/>
  <c r="G11" i="4"/>
  <c r="D12" i="4"/>
  <c r="M13" i="4"/>
  <c r="J14" i="4"/>
  <c r="G15" i="4"/>
  <c r="D16" i="4"/>
  <c r="M17" i="4"/>
  <c r="J18" i="4"/>
  <c r="G19" i="4"/>
  <c r="D20" i="4"/>
  <c r="I6" i="4"/>
  <c r="F7" i="4"/>
  <c r="I10" i="4"/>
  <c r="F11" i="4"/>
  <c r="I14" i="4"/>
  <c r="L17" i="4"/>
  <c r="H3" i="4"/>
  <c r="E4" i="4"/>
  <c r="N5" i="4"/>
  <c r="K6" i="4"/>
  <c r="H7" i="4"/>
  <c r="E8" i="4"/>
  <c r="N9" i="4"/>
  <c r="K10" i="4"/>
  <c r="H11" i="4"/>
  <c r="E12" i="4"/>
  <c r="N13" i="4"/>
  <c r="K14" i="4"/>
  <c r="H15" i="4"/>
  <c r="E16" i="4"/>
  <c r="N17" i="4"/>
  <c r="K18" i="4"/>
  <c r="H19" i="4"/>
  <c r="E20" i="4"/>
  <c r="L10" i="4"/>
  <c r="V21" i="4" l="1"/>
  <c r="U21" i="4"/>
  <c r="T21" i="4"/>
  <c r="S21" i="4"/>
  <c r="Z21" i="4"/>
  <c r="O21" i="4"/>
  <c r="Q21" i="4"/>
  <c r="AD21" i="4" s="1"/>
  <c r="W21" i="4"/>
  <c r="R21" i="4"/>
  <c r="Y21" i="4"/>
  <c r="X21" i="4"/>
  <c r="O16" i="4"/>
  <c r="O20" i="4"/>
  <c r="Q15" i="4"/>
  <c r="AD15" i="4" s="1"/>
  <c r="S18" i="4"/>
  <c r="U18" i="4"/>
  <c r="O17" i="4"/>
  <c r="Z20" i="4"/>
  <c r="O9" i="4"/>
  <c r="X16" i="4"/>
  <c r="Q18" i="4"/>
  <c r="AD18" i="4" s="1"/>
  <c r="V16" i="4"/>
  <c r="O7" i="4"/>
  <c r="Z18" i="4"/>
  <c r="X14" i="4"/>
  <c r="X9" i="4"/>
  <c r="X5" i="4"/>
  <c r="X13" i="4"/>
  <c r="X11" i="4"/>
  <c r="X7" i="4"/>
  <c r="X3" i="4"/>
  <c r="X12" i="4"/>
  <c r="X8" i="4"/>
  <c r="X4" i="4"/>
  <c r="X6" i="4"/>
  <c r="X10" i="4"/>
  <c r="W14" i="4"/>
  <c r="W10" i="4"/>
  <c r="W6" i="4"/>
  <c r="W13" i="4"/>
  <c r="W9" i="4"/>
  <c r="W5" i="4"/>
  <c r="W12" i="4"/>
  <c r="W8" i="4"/>
  <c r="W4" i="4"/>
  <c r="W11" i="4"/>
  <c r="W7" i="4"/>
  <c r="W3" i="4"/>
  <c r="R19" i="4"/>
  <c r="V17" i="4"/>
  <c r="O4" i="4"/>
  <c r="Z15" i="4"/>
  <c r="T17" i="4"/>
  <c r="Y15" i="4"/>
  <c r="O14" i="4"/>
  <c r="R4" i="4"/>
  <c r="R3" i="4"/>
  <c r="R11" i="4"/>
  <c r="R7" i="4"/>
  <c r="R14" i="4"/>
  <c r="R10" i="4"/>
  <c r="R6" i="4"/>
  <c r="R13" i="4"/>
  <c r="R9" i="4"/>
  <c r="R5" i="4"/>
  <c r="R8" i="4"/>
  <c r="R12" i="4"/>
  <c r="W16" i="4"/>
  <c r="O15" i="4"/>
  <c r="R17" i="4"/>
  <c r="U16" i="4"/>
  <c r="X17" i="4"/>
  <c r="Z16" i="4"/>
  <c r="O5" i="4"/>
  <c r="Q19" i="4"/>
  <c r="AD19" i="4" s="1"/>
  <c r="Q17" i="4"/>
  <c r="AD17" i="4" s="1"/>
  <c r="X15" i="4"/>
  <c r="T18" i="4"/>
  <c r="O12" i="4"/>
  <c r="S16" i="4"/>
  <c r="Q12" i="4"/>
  <c r="AD12" i="4" s="1"/>
  <c r="Q8" i="4"/>
  <c r="Q4" i="4"/>
  <c r="Q11" i="4"/>
  <c r="Q7" i="4"/>
  <c r="Q3" i="4"/>
  <c r="Q14" i="4"/>
  <c r="AD14" i="4" s="1"/>
  <c r="Q10" i="4"/>
  <c r="Q6" i="4"/>
  <c r="Q13" i="4"/>
  <c r="AD13" i="4" s="1"/>
  <c r="Q9" i="4"/>
  <c r="Q5" i="4"/>
  <c r="T16" i="4"/>
  <c r="Z13" i="4"/>
  <c r="Z9" i="4"/>
  <c r="Z5" i="4"/>
  <c r="Z12" i="4"/>
  <c r="Z8" i="4"/>
  <c r="Z4" i="4"/>
  <c r="O3" i="4"/>
  <c r="Z11" i="4"/>
  <c r="Z7" i="4"/>
  <c r="Z3" i="4"/>
  <c r="Z14" i="4"/>
  <c r="Z10" i="4"/>
  <c r="Z6" i="4"/>
  <c r="O10" i="4"/>
  <c r="Q20" i="4"/>
  <c r="AD20" i="4" s="1"/>
  <c r="R15" i="4"/>
  <c r="U11" i="4"/>
  <c r="U7" i="4"/>
  <c r="U14" i="4"/>
  <c r="U10" i="4"/>
  <c r="U6" i="4"/>
  <c r="U13" i="4"/>
  <c r="U9" i="4"/>
  <c r="U5" i="4"/>
  <c r="U12" i="4"/>
  <c r="U4" i="4"/>
  <c r="U8" i="4"/>
  <c r="U3" i="4"/>
  <c r="W17" i="4"/>
  <c r="V18" i="4"/>
  <c r="R20" i="4"/>
  <c r="T19" i="4"/>
  <c r="S19" i="4"/>
  <c r="S15" i="4"/>
  <c r="S20" i="4"/>
  <c r="O11" i="4"/>
  <c r="U19" i="4"/>
  <c r="W18" i="4"/>
  <c r="Y17" i="4"/>
  <c r="X20" i="4"/>
  <c r="S11" i="4"/>
  <c r="S7" i="4"/>
  <c r="S3" i="4"/>
  <c r="S14" i="4"/>
  <c r="S10" i="4"/>
  <c r="S6" i="4"/>
  <c r="S9" i="4"/>
  <c r="S5" i="4"/>
  <c r="S13" i="4"/>
  <c r="S12" i="4"/>
  <c r="S8" i="4"/>
  <c r="S4" i="4"/>
  <c r="Y18" i="4"/>
  <c r="T20" i="4"/>
  <c r="X18" i="4"/>
  <c r="O13" i="4"/>
  <c r="O8" i="4"/>
  <c r="Z19" i="4"/>
  <c r="W20" i="4"/>
  <c r="V20" i="4"/>
  <c r="Y13" i="4"/>
  <c r="Y9" i="4"/>
  <c r="Y5" i="4"/>
  <c r="Y12" i="4"/>
  <c r="Y8" i="4"/>
  <c r="Y4" i="4"/>
  <c r="Y3" i="4"/>
  <c r="Y7" i="4"/>
  <c r="Y11" i="4"/>
  <c r="Y14" i="4"/>
  <c r="Y10" i="4"/>
  <c r="Y6" i="4"/>
  <c r="O19" i="4"/>
  <c r="V15" i="4"/>
  <c r="W19" i="4"/>
  <c r="O18" i="4"/>
  <c r="Z17" i="4"/>
  <c r="O6" i="4"/>
  <c r="T11" i="4"/>
  <c r="T7" i="4"/>
  <c r="T3" i="4"/>
  <c r="T14" i="4"/>
  <c r="T10" i="4"/>
  <c r="T6" i="4"/>
  <c r="T13" i="4"/>
  <c r="T9" i="4"/>
  <c r="T5" i="4"/>
  <c r="T12" i="4"/>
  <c r="T8" i="4"/>
  <c r="T4" i="4"/>
  <c r="Y20" i="4"/>
  <c r="R18" i="4"/>
  <c r="Y19" i="4"/>
  <c r="U20" i="4"/>
  <c r="V14" i="4"/>
  <c r="V10" i="4"/>
  <c r="V6" i="4"/>
  <c r="V4" i="4"/>
  <c r="V13" i="4"/>
  <c r="V9" i="4"/>
  <c r="V5" i="4"/>
  <c r="V8" i="4"/>
  <c r="V12" i="4"/>
  <c r="V11" i="4"/>
  <c r="V7" i="4"/>
  <c r="V3" i="4"/>
  <c r="R16" i="4"/>
  <c r="Q16" i="4"/>
  <c r="AD16" i="4" s="1"/>
  <c r="V19" i="4"/>
  <c r="Y16" i="4"/>
  <c r="U17" i="4"/>
  <c r="S17" i="4"/>
  <c r="X19" i="4"/>
  <c r="W15" i="4"/>
  <c r="U15" i="4"/>
  <c r="T15" i="4"/>
  <c r="AC21" i="4" l="1"/>
  <c r="AA21" i="4"/>
  <c r="AB21" i="4" s="1"/>
  <c r="AA11" i="4"/>
  <c r="AA7" i="4"/>
  <c r="AA14" i="4"/>
  <c r="AB14" i="4" s="1"/>
  <c r="AC14" i="4"/>
  <c r="AA3" i="4"/>
  <c r="AA18" i="4"/>
  <c r="AB18" i="4" s="1"/>
  <c r="AC18" i="4"/>
  <c r="AA4" i="4"/>
  <c r="AA19" i="4"/>
  <c r="AB19" i="4" s="1"/>
  <c r="AC19" i="4"/>
  <c r="AA8" i="4"/>
  <c r="AA16" i="4"/>
  <c r="AB16" i="4" s="1"/>
  <c r="AC16" i="4"/>
  <c r="AA12" i="4"/>
  <c r="AB12" i="4" s="1"/>
  <c r="AC12" i="4"/>
  <c r="AA15" i="4"/>
  <c r="AB15" i="4" s="1"/>
  <c r="AC15" i="4"/>
  <c r="AA5" i="4"/>
  <c r="AA9" i="4"/>
  <c r="AA17" i="4"/>
  <c r="AB17" i="4" s="1"/>
  <c r="AC17" i="4"/>
  <c r="AA6" i="4"/>
  <c r="AA13" i="4"/>
  <c r="AB13" i="4" s="1"/>
  <c r="AC13" i="4"/>
  <c r="AA10" i="4"/>
  <c r="AA20" i="4"/>
  <c r="AB20" i="4" s="1"/>
  <c r="AC2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 authorId="0" shapeId="0" xr:uid="{00000000-0006-0000-0300-000001000000}">
      <text>
        <r>
          <rPr>
            <sz val="10"/>
            <rFont val="Arial"/>
            <family val="2"/>
          </rPr>
          <t>Enter the monthly value here.</t>
        </r>
      </text>
    </comment>
    <comment ref="C2" authorId="0" shapeId="0" xr:uid="{00000000-0006-0000-0300-000002000000}">
      <text>
        <r>
          <rPr>
            <sz val="10"/>
            <rFont val="Arial"/>
            <family val="2"/>
          </rPr>
          <t>Enter the monthly value here.</t>
        </r>
      </text>
    </comment>
    <comment ref="D2" authorId="0" shapeId="0" xr:uid="{00000000-0006-0000-0300-000003000000}">
      <text>
        <r>
          <rPr>
            <sz val="10"/>
            <rFont val="Arial"/>
            <family val="2"/>
          </rPr>
          <t>Auto-calculated — do not type.</t>
        </r>
      </text>
    </comment>
    <comment ref="E2" authorId="0" shapeId="0" xr:uid="{00000000-0006-0000-0300-000004000000}">
      <text>
        <r>
          <rPr>
            <sz val="10"/>
            <rFont val="Arial"/>
            <family val="2"/>
          </rPr>
          <t>Auto-calculated — do not type.</t>
        </r>
      </text>
    </comment>
    <comment ref="F2" authorId="0" shapeId="0" xr:uid="{00000000-0006-0000-0300-000005000000}">
      <text>
        <r>
          <rPr>
            <sz val="10"/>
            <rFont val="Arial"/>
            <family val="2"/>
          </rPr>
          <t>Auto-calculated — do not type.</t>
        </r>
      </text>
    </comment>
    <comment ref="G2" authorId="0" shapeId="0" xr:uid="{00000000-0006-0000-0300-000006000000}">
      <text>
        <r>
          <rPr>
            <sz val="10"/>
            <rFont val="Arial"/>
            <family val="2"/>
          </rPr>
          <t>Auto-calculated — do not type.</t>
        </r>
      </text>
    </comment>
    <comment ref="H2" authorId="0" shapeId="0" xr:uid="{00000000-0006-0000-0300-000007000000}">
      <text>
        <r>
          <rPr>
            <sz val="10"/>
            <rFont val="Arial"/>
            <family val="2"/>
          </rPr>
          <t>Auto-calculated — do not type.</t>
        </r>
      </text>
    </comment>
    <comment ref="I2" authorId="0" shapeId="0" xr:uid="{00000000-0006-0000-0300-000008000000}">
      <text>
        <r>
          <rPr>
            <sz val="10"/>
            <rFont val="Arial"/>
            <family val="2"/>
          </rPr>
          <t>Auto-calculated — do not type.</t>
        </r>
      </text>
    </comment>
    <comment ref="J2" authorId="0" shapeId="0" xr:uid="{00000000-0006-0000-0300-000009000000}">
      <text>
        <r>
          <rPr>
            <sz val="10"/>
            <rFont val="Arial"/>
            <family val="2"/>
          </rPr>
          <t>Auto-calculated — do not type.</t>
        </r>
      </text>
    </comment>
    <comment ref="K2" authorId="0" shapeId="0" xr:uid="{00000000-0006-0000-0300-00000A000000}">
      <text>
        <r>
          <rPr>
            <sz val="10"/>
            <rFont val="Arial"/>
            <family val="2"/>
          </rPr>
          <t>Auto-calculated — do not type.</t>
        </r>
      </text>
    </comment>
    <comment ref="L2" authorId="0" shapeId="0" xr:uid="{00000000-0006-0000-0300-00000B000000}">
      <text>
        <r>
          <rPr>
            <sz val="10"/>
            <rFont val="Arial"/>
            <family val="2"/>
          </rPr>
          <t>Auto-calculated — do not type.</t>
        </r>
      </text>
    </comment>
    <comment ref="M2" authorId="0" shapeId="0" xr:uid="{00000000-0006-0000-0300-00000C000000}">
      <text>
        <r>
          <rPr>
            <sz val="10"/>
            <rFont val="Arial"/>
            <family val="2"/>
          </rPr>
          <t>Auto-calculated — do not type.</t>
        </r>
      </text>
    </comment>
    <comment ref="N2" authorId="0" shapeId="0" xr:uid="{00000000-0006-0000-0300-00000D000000}">
      <text>
        <r>
          <rPr>
            <sz val="10"/>
            <rFont val="Arial"/>
            <family val="2"/>
          </rPr>
          <t>Auto-calculated — do not type.</t>
        </r>
      </text>
    </comment>
    <comment ref="O2" authorId="0" shapeId="0" xr:uid="{00000000-0006-0000-0300-00000E000000}">
      <text>
        <r>
          <rPr>
            <sz val="10"/>
            <rFont val="Arial"/>
            <family val="2"/>
          </rPr>
          <t>Auto-calculated — do not type.</t>
        </r>
      </text>
    </comment>
    <comment ref="P2" authorId="0" shapeId="0" xr:uid="{00000000-0006-0000-0300-00000F000000}">
      <text>
        <r>
          <rPr>
            <sz val="10"/>
            <rFont val="Arial"/>
            <family val="2"/>
          </rPr>
          <t>Auto-calculated — do not type.</t>
        </r>
      </text>
    </comment>
    <comment ref="Q2" authorId="0" shapeId="0" xr:uid="{00000000-0006-0000-0300-000010000000}">
      <text>
        <r>
          <rPr>
            <sz val="10"/>
            <rFont val="Arial"/>
            <family val="2"/>
          </rPr>
          <t>Auto-calculated — do not type.</t>
        </r>
      </text>
    </comment>
    <comment ref="R2" authorId="0" shapeId="0" xr:uid="{00000000-0006-0000-0300-000011000000}">
      <text>
        <r>
          <rPr>
            <sz val="10"/>
            <rFont val="Arial"/>
            <family val="2"/>
          </rPr>
          <t>Auto-calculated — do not type.</t>
        </r>
      </text>
    </comment>
    <comment ref="S2" authorId="0" shapeId="0" xr:uid="{00000000-0006-0000-0300-000012000000}">
      <text>
        <r>
          <rPr>
            <sz val="10"/>
            <rFont val="Arial"/>
            <family val="2"/>
          </rPr>
          <t>Auto-calculated — do not type.</t>
        </r>
      </text>
    </comment>
    <comment ref="T2" authorId="0" shapeId="0" xr:uid="{00000000-0006-0000-0300-000013000000}">
      <text>
        <r>
          <rPr>
            <sz val="10"/>
            <rFont val="Arial"/>
            <family val="2"/>
          </rPr>
          <t>Auto-calculated — do not type.</t>
        </r>
      </text>
    </comment>
    <comment ref="U2" authorId="0" shapeId="0" xr:uid="{00000000-0006-0000-0300-000014000000}">
      <text>
        <r>
          <rPr>
            <sz val="10"/>
            <rFont val="Arial"/>
            <family val="2"/>
          </rPr>
          <t>Auto-calculated — do not type.</t>
        </r>
      </text>
    </comment>
    <comment ref="V2" authorId="0" shapeId="0" xr:uid="{00000000-0006-0000-0300-000015000000}">
      <text>
        <r>
          <rPr>
            <sz val="10"/>
            <rFont val="Arial"/>
            <family val="2"/>
          </rPr>
          <t>Auto-calculated — do not type.</t>
        </r>
      </text>
    </comment>
    <comment ref="W2" authorId="0" shapeId="0" xr:uid="{00000000-0006-0000-0300-000016000000}">
      <text>
        <r>
          <rPr>
            <sz val="10"/>
            <rFont val="Arial"/>
            <family val="2"/>
          </rPr>
          <t>Auto-calculated — do not type.</t>
        </r>
      </text>
    </comment>
    <comment ref="X2" authorId="0" shapeId="0" xr:uid="{00000000-0006-0000-0300-000017000000}">
      <text>
        <r>
          <rPr>
            <sz val="10"/>
            <rFont val="Arial"/>
            <family val="2"/>
          </rPr>
          <t>Auto-calculated — do not type.</t>
        </r>
      </text>
    </comment>
    <comment ref="Y2" authorId="0" shapeId="0" xr:uid="{00000000-0006-0000-0300-000018000000}">
      <text>
        <r>
          <rPr>
            <sz val="10"/>
            <rFont val="Arial"/>
            <family val="2"/>
          </rPr>
          <t>Auto-calculated — do not type.</t>
        </r>
      </text>
    </comment>
    <comment ref="Z2" authorId="0" shapeId="0" xr:uid="{00000000-0006-0000-0300-000019000000}">
      <text>
        <r>
          <rPr>
            <sz val="10"/>
            <rFont val="Arial"/>
            <family val="2"/>
          </rPr>
          <t>Auto-calculated — do not type.</t>
        </r>
      </text>
    </comment>
    <comment ref="AA2" authorId="0" shapeId="0" xr:uid="{00000000-0006-0000-0300-00001A000000}">
      <text>
        <r>
          <rPr>
            <sz val="10"/>
            <rFont val="Arial"/>
            <family val="2"/>
          </rPr>
          <t>Auto-calculated — do not type.</t>
        </r>
      </text>
    </comment>
    <comment ref="AB2" authorId="0" shapeId="0" xr:uid="{00000000-0006-0000-0300-00001B000000}">
      <text>
        <r>
          <rPr>
            <sz val="10"/>
            <rFont val="Arial"/>
            <family val="2"/>
          </rPr>
          <t>Auto-calculated — do not type.</t>
        </r>
      </text>
    </comment>
    <comment ref="AC2" authorId="0" shapeId="0" xr:uid="{00000000-0006-0000-0300-00001C000000}">
      <text>
        <r>
          <rPr>
            <sz val="10"/>
            <rFont val="Arial"/>
            <family val="2"/>
          </rPr>
          <t>Auto-calculated — do not type.</t>
        </r>
      </text>
    </comment>
    <comment ref="AD2" authorId="0" shapeId="0" xr:uid="{00000000-0006-0000-0300-00001D000000}">
      <text>
        <r>
          <rPr>
            <sz val="10"/>
            <rFont val="Arial"/>
            <family val="2"/>
          </rPr>
          <t>Auto-calculated — do not type.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 authorId="0" shapeId="0" xr:uid="{00000000-0006-0000-0400-000001000000}">
      <text>
        <r>
          <rPr>
            <sz val="10"/>
            <rFont val="Arial"/>
            <family val="2"/>
          </rPr>
          <t>Enter the monthly value here.</t>
        </r>
      </text>
    </comment>
    <comment ref="E1" authorId="0" shapeId="0" xr:uid="{00000000-0006-0000-0400-000004000000}">
      <text>
        <r>
          <rPr>
            <sz val="10"/>
            <rFont val="Arial"/>
            <family val="2"/>
          </rPr>
          <t>Enter the monthly value here.</t>
        </r>
      </text>
    </comment>
    <comment ref="F1" authorId="0" shapeId="0" xr:uid="{00000000-0006-0000-0400-000005000000}">
      <text>
        <r>
          <rPr>
            <sz val="10"/>
            <rFont val="Arial"/>
            <family val="2"/>
          </rPr>
          <t>Enter the monthly value here.</t>
        </r>
      </text>
    </comment>
    <comment ref="G1" authorId="0" shapeId="0" xr:uid="{00000000-0006-0000-0400-000006000000}">
      <text>
        <r>
          <rPr>
            <sz val="10"/>
            <rFont val="Arial"/>
            <family val="2"/>
          </rPr>
          <t>Enter the monthly value here.</t>
        </r>
      </text>
    </comment>
    <comment ref="H1" authorId="0" shapeId="0" xr:uid="{00000000-0006-0000-0400-000007000000}">
      <text>
        <r>
          <rPr>
            <sz val="10"/>
            <rFont val="Arial"/>
            <family val="2"/>
          </rPr>
          <t>Enter the monthly value here.</t>
        </r>
      </text>
    </comment>
    <comment ref="I1" authorId="0" shapeId="0" xr:uid="{00000000-0006-0000-0400-000008000000}">
      <text>
        <r>
          <rPr>
            <sz val="10"/>
            <rFont val="Arial"/>
            <family val="2"/>
          </rPr>
          <t>Enter the monthly value here.</t>
        </r>
      </text>
    </comment>
    <comment ref="J1" authorId="0" shapeId="0" xr:uid="{00000000-0006-0000-0400-000009000000}">
      <text>
        <r>
          <rPr>
            <sz val="10"/>
            <rFont val="Arial"/>
            <family val="2"/>
          </rPr>
          <t>Enter the monthly value here.</t>
        </r>
      </text>
    </comment>
    <comment ref="K1" authorId="0" shapeId="0" xr:uid="{00000000-0006-0000-0400-00000A000000}">
      <text>
        <r>
          <rPr>
            <sz val="10"/>
            <rFont val="Arial"/>
            <family val="2"/>
          </rPr>
          <t>Enter the monthly value here.</t>
        </r>
      </text>
    </comment>
    <comment ref="L1" authorId="0" shapeId="0" xr:uid="{00000000-0006-0000-0400-00000B000000}">
      <text>
        <r>
          <rPr>
            <sz val="10"/>
            <rFont val="Arial"/>
            <family val="2"/>
          </rPr>
          <t>Enter the monthly value here.</t>
        </r>
      </text>
    </comment>
    <comment ref="M1" authorId="0" shapeId="0" xr:uid="{00000000-0006-0000-0400-00000C000000}">
      <text>
        <r>
          <rPr>
            <sz val="10"/>
            <rFont val="Arial"/>
            <family val="2"/>
          </rPr>
          <t>Enter the monthly value here.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000-000001000000}">
      <text>
        <r>
          <rPr>
            <sz val="10"/>
            <rFont val="Arial"/>
            <family val="2"/>
          </rPr>
          <t>Type each incident on a new row. The table auto-fills the Month and dropdowns.</t>
        </r>
      </text>
    </comment>
    <comment ref="B1" authorId="0" shapeId="0" xr:uid="{00000000-0006-0000-0000-000002000000}">
      <text>
        <r>
          <rPr>
            <sz val="10"/>
            <rFont val="Arial"/>
            <family val="2"/>
          </rPr>
          <t>Auto-fills from the Incident Date — leave blank.</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<sst xmlns="http://schemas.openxmlformats.org/spreadsheetml/2006/main" count="2333" uniqueCount="331">
  <si>
    <t>Incident Date</t>
  </si>
  <si>
    <t>Month</t>
  </si>
  <si>
    <t>Time</t>
  </si>
  <si>
    <t>Reported By</t>
  </si>
  <si>
    <t>What Happened</t>
  </si>
  <si>
    <t>Primary Category</t>
  </si>
  <si>
    <t>Population</t>
  </si>
  <si>
    <t>Zone / Area</t>
  </si>
  <si>
    <t>Major risks (If Any)</t>
  </si>
  <si>
    <t>Employee Full Name</t>
  </si>
  <si>
    <t>DaysLost</t>
  </si>
  <si>
    <t>Immediate actions taken</t>
  </si>
  <si>
    <t>Event severity</t>
  </si>
  <si>
    <t>Classification [Incident]</t>
  </si>
  <si>
    <t>Gozel, Amiri</t>
  </si>
  <si>
    <t>A worker reported sudden pain and swelling in his foot during working hours. Upon receiving the information, he was immediately escorted to the BBIAGC Site Clinic, where he received first aid treatment.</t>
  </si>
  <si>
    <t>First Aid</t>
  </si>
  <si>
    <t>Central Court</t>
  </si>
  <si>
    <t>Not Applicable</t>
  </si>
  <si>
    <t>First Aid Case</t>
  </si>
  <si>
    <t>A Near Miss case occurred during the installation of a tower crane. A ladder slipped from the hands of an installer during reinstallation.
After installing the main structure, the installers discovered that the ladder had been installed incorrectly, so they decided to reinstall it on site. According to the safe work procedures, the ladder must be secured to the main beam of the tower crane on the ground.</t>
  </si>
  <si>
    <t>Near Miss</t>
  </si>
  <si>
    <t>Work At Height</t>
  </si>
  <si>
    <t>MRN</t>
  </si>
  <si>
    <t>The Shoring materials (T60) delivered on site in unstable conditions, the materials were stacked on a flatbed trailer without adequate stability, During the unhooking of the trailer belt straps used to secure the load, a near miss incident occurred. Due to the unstable stacking. No injuries were reported.</t>
  </si>
  <si>
    <t>Stability</t>
  </si>
  <si>
    <t>Work was on-going to install a new water station in the CC area. There was difficulty pushing the water tank into its correct position inside the station, a sharp edge was present and was not identified or protected during the fabrication stage. While pushing the water line/tank with force, the worker’s finger was Pinched in between the structure and water tank, causing a finger injury.</t>
  </si>
  <si>
    <t>During ground leveling and compacting by skid loader the skid loader damage underground live cable going to BAUER Temporary office coming from Panel board, there is no signages stand of cables direction.</t>
  </si>
  <si>
    <t>CT2</t>
  </si>
  <si>
    <t>Hazardous Energies</t>
  </si>
  <si>
    <t>At approximately 20:00 hrs at HPTC, adjacent to TC06, the lights of Tower Crane 06 suddenly went off. Upon arrival, the site team observed a melting odor emanating from the electrical panel connected to TC06.</t>
  </si>
  <si>
    <t>HPTC</t>
  </si>
  <si>
    <t>While the Rigger was performing his duties of signaling the lifting of the shutter by the tower crane, he was standing on top of the rebar cage. As he descended from the Rebar cage, his leg struck the sharp end of the Rebar, resulting in an injury of his left leg</t>
  </si>
  <si>
    <t xml:space="preserve">while unloading of Concrete Slab, by doing so, during the swing of load suddenly the load gets unstable then the Boom Truck Operator lowered the boom, and the load hits the Boom Truck and fall in the ground. </t>
  </si>
  <si>
    <t>Lifting</t>
  </si>
  <si>
    <t>During steel-cutting activities at the JV steel yard, a steel fixer was arranging the cut steel when he was injured (Cut) by the sharp edge of the steel on his left hand’s index finger.</t>
  </si>
  <si>
    <t xml:space="preserve">The worker sustained a puncture wound to the sole of the right foot after stepping on a nail during work activities. </t>
  </si>
  <si>
    <t>During the unloading of rebar, a sudden wind gust caused the load to swing while the Zoomlion ZTC550V was in operation. Despite the crane's stability systems, the operator failed to take the necessary corrective action—specifically failing to "boom down" to stabilize the load. Consequently, the swinging rebar struck the crane, resulting in shattered operator cabin glass. This was the first operational task for this recently hired crane and operator.</t>
  </si>
  <si>
    <t>During a routine daily safety inspection, a jack support failed and fell from height, landing in the immediate vicinity of the safety engineer. This event is classified as a Major Risk Near Miss, as the weight and trajectory of the falling object had the potential to cause fatal or life-altering injuries to personnel. Fortunately, no contact occurred.</t>
  </si>
  <si>
    <t>IP removed reinforcing steel (rebar) for short cut. During this action, he lost control while pushing the rebar, which caused it to strike and caused a minor injury in his forehead.</t>
  </si>
  <si>
    <t xml:space="preserve">On 21.04.2026 around 17:00 am, at CC Zone, during pouring the concrete pump line was observed leaking from the pipeline connection, and a section of the pipe was found damaged and in unsafe operating condition. The equipment showed signs of poor maintenance, creating a risk of concrete spillage, pressure failure, hose whipping, and potential injury to personnel working nearby. </t>
  </si>
  <si>
    <t>A near miss incident occurred during manual steel fabrication works. While handling materials manually, a steel piece slipped from the worker’s hand due to vertical handling and fell through a small opening into the core area. The activity was being performed manually without adequate control measures, creating a risk of falling objects and potential injury to personnel below.</t>
  </si>
  <si>
    <t xml:space="preserve">There was cardboard under the battery box. Because of the heat, the cardboard starts burning
</t>
  </si>
  <si>
    <t>While a BRC scaffolding operative was manually passing a bracing member upward to a formworker on the slab level, the component slipped from his hand. An Annaq operative was walking along the designated path immediately adjacent to the scaffold at that moment. The falling bracing touched the Annaq worker's safety helmet, deflected away from his shoulder, and landed on the ground.</t>
  </si>
  <si>
    <t>A First Aid case occurred at CC Zone 2 involving a worker suffering from heat-related distress. The worker experienced dizziness and physical exhaustion due to high thermal conditions. Prompt intervention by colleagues and the Site Engineer ensured the worker received water and medical transport to the clinic for treatment. Following a thorough examination at the clinic, the attending physician confirmed that the symptoms were a direct result of dehydration</t>
  </si>
  <si>
    <t>On 13.05.2026 at around 15:00 truck arrives at JV laydown to deliver steel due to no mobile crane available the truck waited at laydown area till 02:00 14.05.2026 when the truck taking maneuver for reverse parking  for unloading the materials, by doing so there’s was no Flag man available during the equipment movement and the truck driver could see clearly the material stocked on his back because of the poor illumination, while he was reversing he hits the materials, no injuries , no materials damages recorded nor equipment damage.</t>
  </si>
  <si>
    <t>LAYDOWN</t>
  </si>
  <si>
    <t>On 15.05.2026 at 09:45, a First Aid case occurred at CC Zone 4. During routine site activity, a worker experienced dizziness and discomfort due to excessive heat exposure while performing assigned tasks on site. The worker immediately informed his colleague that he was not feeling well. The colleague took him to the nearest store where he could get the shade. Then immediately called the Ambulance.Upon arrival at the clinic, we bought the worker to clinic from ambulance and did the routine check-up the Blood Pressure &amp; pulse rate were observed normal.</t>
  </si>
  <si>
    <t>On 16 May,2026 at around 10:02, during de-shuttering activity, an clip/material component fell to the ground from the working platform within 2,5m height.  No injuries was identified</t>
  </si>
  <si>
    <t>Abdullah Albin, SAAD</t>
  </si>
  <si>
    <t xml:space="preserve">On 30 May 2026 at around 19:55, a fatal incident was reported at the project site. De-shuttering activities were in progress at Core 2, and shuttering materials were being lifted to the TC-01 Storage area. During the lifting operation, two workers were manually handling and holding a shutter panel. While the shutter was being moved, it suddenly swung unexpectedly, causing it to strike one of the workers in the neck area. The worker hit with scaffolding and died on the spot. </t>
  </si>
  <si>
    <t>Severe Accident</t>
  </si>
  <si>
    <t>MRA</t>
  </si>
  <si>
    <t>Fatality</t>
  </si>
  <si>
    <t>Zone</t>
  </si>
  <si>
    <t>Training Type</t>
  </si>
  <si>
    <t>Task Specific</t>
  </si>
  <si>
    <t>MONTHLY DATA</t>
  </si>
  <si>
    <t>ROLLING 12 MONTHS</t>
  </si>
  <si>
    <t>FREQUENCY</t>
  </si>
  <si>
    <t>Concerned Month</t>
  </si>
  <si>
    <t>Manpower</t>
  </si>
  <si>
    <t xml:space="preserve">Worked Hours </t>
  </si>
  <si>
    <t>Nb of Days lost</t>
  </si>
  <si>
    <t>NM</t>
  </si>
  <si>
    <t>FA</t>
  </si>
  <si>
    <t>RTA</t>
  </si>
  <si>
    <t>Dangerous Occurance</t>
  </si>
  <si>
    <t>Property Damage</t>
  </si>
  <si>
    <t>Fatalities</t>
  </si>
  <si>
    <t>LTA</t>
  </si>
  <si>
    <t>Total Accidents</t>
  </si>
  <si>
    <t>Worked Hours - 12M</t>
  </si>
  <si>
    <t>Nb of Days lost - 12M</t>
  </si>
  <si>
    <t>NM - 12M</t>
  </si>
  <si>
    <t>MRN - 12M</t>
  </si>
  <si>
    <t>FA - 12M</t>
  </si>
  <si>
    <t>RTA - 12M</t>
  </si>
  <si>
    <t>Dangerous Occurance - 12M</t>
  </si>
  <si>
    <t>Property Damage - 12M</t>
  </si>
  <si>
    <t>Severe Accident - 12M</t>
  </si>
  <si>
    <t>MRA - 12M</t>
  </si>
  <si>
    <t>LTA - 12M</t>
  </si>
  <si>
    <t>Total Accidents - 12M</t>
  </si>
  <si>
    <t>Global Fequency Rate - 12RM</t>
  </si>
  <si>
    <t>Frequency Rate - 12RM</t>
  </si>
  <si>
    <t>Severity Rate - 12RM</t>
  </si>
  <si>
    <t>Mass-Briefings</t>
  </si>
  <si>
    <t>Training-Induction</t>
  </si>
  <si>
    <t>Task Specific Trainings</t>
  </si>
  <si>
    <t>Subcontractor Pre-QualificatIon H&amp;S Meetings</t>
  </si>
  <si>
    <t>Production H&amp;S Leadership Vists</t>
  </si>
  <si>
    <t>H&amp;S Campaign</t>
  </si>
  <si>
    <t>H&amp;S Awards</t>
  </si>
  <si>
    <t>H&amp;S Audits</t>
  </si>
  <si>
    <t>Safety Alerts</t>
  </si>
  <si>
    <t>Mock Drill</t>
  </si>
  <si>
    <t>Stop &amp; Go By H&amp;S</t>
  </si>
  <si>
    <t>Stop &amp; Go By Production</t>
  </si>
  <si>
    <t>YTD</t>
  </si>
  <si>
    <t>ZONE'S</t>
  </si>
  <si>
    <t>KPI Metric</t>
  </si>
  <si>
    <t>TARGET</t>
  </si>
  <si>
    <t>January</t>
  </si>
  <si>
    <t>February</t>
  </si>
  <si>
    <t>March</t>
  </si>
  <si>
    <t>April</t>
  </si>
  <si>
    <t>May</t>
  </si>
  <si>
    <t>June</t>
  </si>
  <si>
    <t>July</t>
  </si>
  <si>
    <t>August</t>
  </si>
  <si>
    <t>September</t>
  </si>
  <si>
    <t>October</t>
  </si>
  <si>
    <t>November</t>
  </si>
  <si>
    <t>December</t>
  </si>
  <si>
    <t>Zone CC</t>
  </si>
  <si>
    <t>ZONE CC</t>
  </si>
  <si>
    <t>Leadership Walkthroughs</t>
  </si>
  <si>
    <t>Stop&amp;Go by H&amp;S</t>
  </si>
  <si>
    <t>Stop&amp;Go by Production</t>
  </si>
  <si>
    <t>Near Misses</t>
  </si>
  <si>
    <t>Major Risk Near Misses</t>
  </si>
  <si>
    <t>First Aid Cases</t>
  </si>
  <si>
    <t>LTA (Lost Time Accident)</t>
  </si>
  <si>
    <t>Major Risk Accident</t>
  </si>
  <si>
    <t>H&amp;S Meetings Held</t>
  </si>
  <si>
    <t>Task Specific trainings</t>
  </si>
  <si>
    <t>TBT by Production Supervision</t>
  </si>
  <si>
    <t>Drills</t>
  </si>
  <si>
    <t>Zone HPTC</t>
  </si>
  <si>
    <t>ZONE HPTC</t>
  </si>
  <si>
    <t>Zone CT1 / CT2</t>
  </si>
  <si>
    <t>Zone CT1/CT2</t>
  </si>
  <si>
    <t>QNTC LEADERSHIP SAFETY INSPECTION MATRIX 2026</t>
  </si>
  <si>
    <t>Project Name</t>
  </si>
  <si>
    <t>Who</t>
  </si>
  <si>
    <t>Jan</t>
  </si>
  <si>
    <t>Feb</t>
  </si>
  <si>
    <t>Mar</t>
  </si>
  <si>
    <t>Apr</t>
  </si>
  <si>
    <t>Jun</t>
  </si>
  <si>
    <t>Jul</t>
  </si>
  <si>
    <t>Aug</t>
  </si>
  <si>
    <t>Sep</t>
  </si>
  <si>
    <t>Oct</t>
  </si>
  <si>
    <t>Nov</t>
  </si>
  <si>
    <t>Dec</t>
  </si>
  <si>
    <t>Planned</t>
  </si>
  <si>
    <t>Completed</t>
  </si>
  <si>
    <t>QNTC</t>
  </si>
  <si>
    <t>FSY</t>
  </si>
  <si>
    <t>FFE</t>
  </si>
  <si>
    <t>AEJ</t>
  </si>
  <si>
    <t>SLE</t>
  </si>
  <si>
    <t>GBI</t>
  </si>
  <si>
    <t>BGO</t>
  </si>
  <si>
    <t>RKO</t>
  </si>
  <si>
    <t>JVG</t>
  </si>
  <si>
    <t>JCH</t>
  </si>
  <si>
    <t>AHY</t>
  </si>
  <si>
    <t>NPR</t>
  </si>
  <si>
    <t>PAV</t>
  </si>
  <si>
    <t>DDA</t>
  </si>
  <si>
    <t>PLANNED</t>
  </si>
  <si>
    <t>KEY COMPLETED</t>
  </si>
  <si>
    <t>NOT COMPLETE</t>
  </si>
  <si>
    <t>Abbreviations</t>
  </si>
  <si>
    <t>Attendees</t>
  </si>
  <si>
    <t>Francois SYLVESTRE</t>
  </si>
  <si>
    <t>Frederic FERRE</t>
  </si>
  <si>
    <t>Ayad ElJammal</t>
  </si>
  <si>
    <t>Stephane LEVENARD</t>
  </si>
  <si>
    <t>Geoffroy BIETH</t>
  </si>
  <si>
    <t xml:space="preserve"> Nicolas PROGREBNOI</t>
  </si>
  <si>
    <t>Richard KOENIG</t>
  </si>
  <si>
    <t>Jean Vianney GARD</t>
  </si>
  <si>
    <t>Joey CHAMI</t>
  </si>
  <si>
    <t xml:space="preserve"> Patrizio AVARO</t>
  </si>
  <si>
    <t>David DAMBREVILLE</t>
  </si>
  <si>
    <t>AntoineYAGHMOUR</t>
  </si>
  <si>
    <t xml:space="preserve"> Bruno GONCALVES</t>
  </si>
  <si>
    <t>ZONE</t>
  </si>
  <si>
    <t>KPI METRIC</t>
  </si>
  <si>
    <t>MONTH</t>
  </si>
  <si>
    <t>MONTH NUMBER</t>
  </si>
  <si>
    <t>VALUE</t>
  </si>
  <si>
    <t>KPI TYPE</t>
  </si>
  <si>
    <t>Leading</t>
  </si>
  <si>
    <t>Lagging</t>
  </si>
  <si>
    <t>HSE Team</t>
  </si>
  <si>
    <t>Category</t>
  </si>
  <si>
    <t>ZONE / AREA</t>
  </si>
  <si>
    <t>Event Severity</t>
  </si>
  <si>
    <t>Classification</t>
  </si>
  <si>
    <t>Major Risks</t>
  </si>
  <si>
    <t>POPULATION</t>
  </si>
  <si>
    <t>Maksim, YAZDANOV</t>
  </si>
  <si>
    <t>BRC</t>
  </si>
  <si>
    <t>Road Traffic Accident</t>
  </si>
  <si>
    <t>Elite Heart</t>
  </si>
  <si>
    <t>Toolbox Talk / TBT</t>
  </si>
  <si>
    <t>CT1</t>
  </si>
  <si>
    <t>Gulf Mark</t>
  </si>
  <si>
    <t>Mass Briefing</t>
  </si>
  <si>
    <t>Faizal, ANSARI</t>
  </si>
  <si>
    <t>Other</t>
  </si>
  <si>
    <t>Parahat, DURDYYEV</t>
  </si>
  <si>
    <t>Power Production Equipment</t>
  </si>
  <si>
    <t>Hussain, ALBASRI</t>
  </si>
  <si>
    <t>High Potential</t>
  </si>
  <si>
    <t>Colission</t>
  </si>
  <si>
    <t>Ahmed, HILAL</t>
  </si>
  <si>
    <t>Abdulaziz Nashi, AL QURAINI</t>
  </si>
  <si>
    <t>Usama Shahid, BUTT</t>
  </si>
  <si>
    <t>Omar, SALEH</t>
  </si>
  <si>
    <t>Prabhu, MUTHU</t>
  </si>
  <si>
    <t>Gurbanov, ATAGELDI</t>
  </si>
  <si>
    <t>Lekhanath, BOHORA</t>
  </si>
  <si>
    <t>Rashed, ALBLUEY</t>
  </si>
  <si>
    <t>Pratyush, MUDBHARI</t>
  </si>
  <si>
    <r>
      <t xml:space="preserve">FFE or AEJ, SLE, GBI, NPR, BGO, Maksim Y, </t>
    </r>
    <r>
      <rPr>
        <b/>
        <sz val="12"/>
        <rFont val="Bierstadt"/>
        <family val="2"/>
      </rPr>
      <t>others upon request</t>
    </r>
  </si>
  <si>
    <r>
      <t xml:space="preserve">SLE, GBI, NPR, BGO, Eric M, Maksim Y, </t>
    </r>
    <r>
      <rPr>
        <b/>
        <sz val="12"/>
        <rFont val="Bierstadt"/>
        <family val="2"/>
      </rPr>
      <t xml:space="preserve">others upon request </t>
    </r>
  </si>
  <si>
    <r>
      <t xml:space="preserve">Package and Zone Supervision, </t>
    </r>
    <r>
      <rPr>
        <b/>
        <sz val="12"/>
        <rFont val="Bierstadt"/>
        <family val="2"/>
      </rPr>
      <t>others upon request</t>
    </r>
  </si>
  <si>
    <t>On June 28, 2026, at approximately 01:36 AM, during the site reopening mass briefing, a BRC employee experienced nauseous and got unconscious. The briefing was immediately paused to prioritize the worker's safety. Site medical personnel were notified, and the employee was escorted to the site clinic for evaluation. The mass briefing was safely concluded following the worker's transfer to the medical facility. Upon arrival at the site clinic, the worker’s vital signs were checked. His blood pressure and pulse rate were elevated, registering at 138/65 mmHg. First aid protocols were initiated.  After the initial nursing examination, patient have sinus bradycardia. (Heart rate less than 50 bpm).The patient's condition is stable. Advise visit hospital for further treatment.</t>
  </si>
  <si>
    <t xml:space="preserve">On June 28, 2026, at approximately 07:45 AM, during the site reopening mass briefing, a BRC employee experienced sudden dizziness and lay down on the ground. The briefing was immediately paused to prioritize the worker's safety. Site medical personnel were notified, and the employee was escorted to the site clinic for evaluation. The mass briefing was safely concluded following the worker's transfer to the medical facility. Upon arrival at the site clinic, the worker’s vital signs were checked. His blood pressure and pulse rate were elevated, registering at 152/89 mmHg. First aid protocols were initiated. The worker is currently resting and remains under medical observation at the clinic until his vitals stabilize. </t>
  </si>
  <si>
    <t>SN</t>
  </si>
  <si>
    <t>Iqama No.</t>
  </si>
  <si>
    <t>Name</t>
  </si>
  <si>
    <t>Company</t>
  </si>
  <si>
    <t>Location</t>
  </si>
  <si>
    <t>Violation Type</t>
  </si>
  <si>
    <t>Date</t>
  </si>
  <si>
    <t>Disciplinary Action</t>
  </si>
  <si>
    <t>Status</t>
  </si>
  <si>
    <t>Count</t>
  </si>
  <si>
    <t>Remarks</t>
  </si>
  <si>
    <t>2627239426</t>
  </si>
  <si>
    <t>Shahid Ali</t>
  </si>
  <si>
    <t>ELITE HEART</t>
  </si>
  <si>
    <t>False Work at Height Procedure</t>
  </si>
  <si>
    <t>Minor</t>
  </si>
  <si>
    <t>1st Warning</t>
  </si>
  <si>
    <t>Closed</t>
  </si>
  <si>
    <t>Parahat DURDYYEV</t>
  </si>
  <si>
    <t>Not following Work at Height requirements</t>
  </si>
  <si>
    <t>2533628315</t>
  </si>
  <si>
    <t>Badshah Rawiz</t>
  </si>
  <si>
    <t>Working on Incomplete Scaffolding</t>
  </si>
  <si>
    <t>Pratyush MUDBHARI</t>
  </si>
  <si>
    <t>2578331528</t>
  </si>
  <si>
    <t>Ansur</t>
  </si>
  <si>
    <t>Not Using Proper Acess</t>
  </si>
  <si>
    <t>Rashed ALBLUEY</t>
  </si>
  <si>
    <t>2578331445</t>
  </si>
  <si>
    <t>Pinto</t>
  </si>
  <si>
    <t>2516097397</t>
  </si>
  <si>
    <t>Raza Khan</t>
  </si>
  <si>
    <t>Performing Prayer at Site in Working Area</t>
  </si>
  <si>
    <t>Usama Shahid BUTT</t>
  </si>
  <si>
    <t>Any unsafe acts/practices to be determined by the HSE Department</t>
  </si>
  <si>
    <t>2420270973</t>
  </si>
  <si>
    <t>Jawahar singh</t>
  </si>
  <si>
    <t>Not Respecting Safety Personnel</t>
  </si>
  <si>
    <t>2579458973</t>
  </si>
  <si>
    <t>Asif</t>
  </si>
  <si>
    <t>Walking Near the excavation edge without the proper edge protextion on safe access</t>
  </si>
  <si>
    <t>Prabhu MUTHU</t>
  </si>
  <si>
    <t>Not following Project HSE procedures</t>
  </si>
  <si>
    <t>2618183087</t>
  </si>
  <si>
    <t>Syed Arshid</t>
  </si>
  <si>
    <t>BUILDING ROOTS</t>
  </si>
  <si>
    <t>Using improper way of Working at Height</t>
  </si>
  <si>
    <t>Gurbanov ATAGELDI</t>
  </si>
  <si>
    <t>2505154716</t>
  </si>
  <si>
    <t>Raad Saleh Naji</t>
  </si>
  <si>
    <t>Unsafe Working platfom climbing between shoring towers</t>
  </si>
  <si>
    <t>Lekhanath BOHORA</t>
  </si>
  <si>
    <t>2564045322</t>
  </si>
  <si>
    <t>Sana ullah</t>
  </si>
  <si>
    <t>2256674108</t>
  </si>
  <si>
    <t>Fares Hazaea Abdulwasea</t>
  </si>
  <si>
    <t>Omar SALEH</t>
  </si>
  <si>
    <t>2401491671</t>
  </si>
  <si>
    <t>Alamzaib Khan</t>
  </si>
  <si>
    <t>2615761836</t>
  </si>
  <si>
    <t>Sardar Hussain</t>
  </si>
  <si>
    <t>Work At height without proper platform</t>
  </si>
  <si>
    <t>2499348478</t>
  </si>
  <si>
    <t>Md Junnun</t>
  </si>
  <si>
    <t>Worker Failure to comply with safety requirements</t>
  </si>
  <si>
    <t>2448917514</t>
  </si>
  <si>
    <t>Mustafa Razzaz</t>
  </si>
  <si>
    <t>Monkey Climbing</t>
  </si>
  <si>
    <t>2616077893</t>
  </si>
  <si>
    <t>Mahat</t>
  </si>
  <si>
    <t>Working on the Edge without the Edge protection</t>
  </si>
  <si>
    <t>2614521181</t>
  </si>
  <si>
    <t>Imran</t>
  </si>
  <si>
    <t>Failure to follow the safety requirements during Work at Height</t>
  </si>
  <si>
    <t>2577781483</t>
  </si>
  <si>
    <t>Belal hossen</t>
  </si>
  <si>
    <t>GLOBAL CASTLE</t>
  </si>
  <si>
    <t>Court I</t>
  </si>
  <si>
    <t>The Scaffolder Was Observed Working On The Scaffold Frame Withour a Proper Working Platform And Withour Harness</t>
  </si>
  <si>
    <t>Major</t>
  </si>
  <si>
    <t>2281031688</t>
  </si>
  <si>
    <t>Yaseen Abdullah</t>
  </si>
  <si>
    <t>Unsafe Work At height Activity Without Acess and Platform</t>
  </si>
  <si>
    <t>2613189881</t>
  </si>
  <si>
    <t>Asal Khan</t>
  </si>
  <si>
    <t>Working on Incomplete Scaffold Platform</t>
  </si>
  <si>
    <t>2594362606</t>
  </si>
  <si>
    <t>Najn Hussain</t>
  </si>
  <si>
    <t>Using Unsafe Platform</t>
  </si>
  <si>
    <t>2470037645</t>
  </si>
  <si>
    <t>Ijaz Khan</t>
  </si>
  <si>
    <t>Climbing the Scaffold Using the ledgers instead of the ladder</t>
  </si>
  <si>
    <t>2586386308</t>
  </si>
  <si>
    <t>-</t>
  </si>
  <si>
    <t>Working On unsafe Platform / No Access</t>
  </si>
  <si>
    <t>2193745847</t>
  </si>
  <si>
    <t>Nasar Iqbal Sahifaiz</t>
  </si>
  <si>
    <t>2585983080</t>
  </si>
  <si>
    <t>Ali Abdullah</t>
  </si>
  <si>
    <t>Working at Height without Fall Protection &amp; Incomplete Shoring Tower</t>
  </si>
  <si>
    <t>Hussain ALBASRI</t>
  </si>
  <si>
    <t>2522368796</t>
  </si>
  <si>
    <t>Hoshaim Abdo</t>
  </si>
  <si>
    <t>2586386303</t>
  </si>
  <si>
    <t>Abdul Hameed</t>
  </si>
  <si>
    <t>Climbing in the Steel Cage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</si>
</sst>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
    <numFmt numFmtId="165" formatCode="mmm\-yyyy"/>
    <numFmt numFmtId="166" formatCode="mmm"/>
    <numFmt numFmtId="167" formatCode="dd\-mmm\-yyyy"/>
  </numFmts>
  <fonts count="19" x14ac:knownFonts="1">
    <font>
      <sz val="11"/>
      <color theme="1"/>
      <name val="Calibri"/>
      <family val="2"/>
      <charset val="1"/>
    </font>
    <font>
      <sz val="11"/>
      <color theme="1"/>
      <name val="Calibri"/>
      <family val="2"/>
      <scheme val="minor"/>
    </font>
    <font>
      <sz val="10"/>
      <name val="Arial"/>
      <family val="2"/>
    </font>
    <font>
      <b/>
      <sz val="11"/>
      <color rgb="FF1F3864"/>
      <name val="Arial"/>
      <family val="2"/>
    </font>
    <font>
      <b/>
      <sz val="10"/>
      <color rgb="FFFFFFFF"/>
      <name val="Arial"/>
      <family val="2"/>
    </font>
    <font>
      <sz val="10"/>
      <name val="Arial"/>
      <family val="2"/>
    </font>
    <font>
      <b/>
      <sz val="10"/>
      <name val="Arial"/>
      <family val="2"/>
    </font>
    <font>
      <sz val="9"/>
      <name val="Arial"/>
      <family val="2"/>
    </font>
    <font>
      <sz val="10"/>
      <color rgb="FF000000"/>
      <name val="Arial"/>
      <family val="2"/>
    </font>
    <font>
      <b/>
      <sz val="14"/>
      <color theme="9" tint="-0.249977111117893"/>
      <name val="Bierstadt"/>
      <family val="2"/>
    </font>
    <font>
      <sz val="12"/>
      <name val="Bierstadt"/>
      <family val="2"/>
    </font>
    <font>
      <b/>
      <sz val="12"/>
      <color theme="1"/>
      <name val="Bierstadt"/>
      <family val="2"/>
    </font>
    <font>
      <sz val="12"/>
      <color theme="1"/>
      <name val="Bierstadt"/>
      <family val="2"/>
    </font>
    <font>
      <b/>
      <sz val="12"/>
      <name val="Bierstadt"/>
      <family val="2"/>
    </font>
    <font>
      <sz val="12"/>
      <color theme="0"/>
      <name val="Bierstadt"/>
      <family val="2"/>
    </font>
    <font>
      <sz val="12"/>
      <color theme="1"/>
      <name val="Calibri"/>
      <family val="2"/>
      <scheme val="minor"/>
    </font>
    <font>
      <b/>
      <sz val="12"/>
      <color theme="3"/>
      <name val="Bierstadt"/>
      <family val="2"/>
    </font>
    <font>
      <b/>
      <sz val="11"/>
      <color rgb="FFFFFFFF"/>
      <name val="Arial"/>
      <family val="2"/>
    </font>
    <font>
      <i/>
      <sz val="10"/>
      <color rgb="FF555555"/>
      <name val="Arial"/>
      <family val="2"/>
    </font>
  </fonts>
  <fills count="14">
    <fill>
      <patternFill patternType="none"/>
    </fill>
    <fill>
      <patternFill patternType="gray125"/>
    </fill>
    <fill>
      <patternFill patternType="solid">
        <fgColor rgb="FF1F3864"/>
        <bgColor rgb="FF1F4E79"/>
      </patternFill>
    </fill>
    <fill>
      <patternFill patternType="solid">
        <fgColor rgb="FF2E7D32"/>
        <bgColor rgb="FF008000"/>
      </patternFill>
    </fill>
    <fill>
      <patternFill patternType="solid">
        <fgColor rgb="FFFFF2CC"/>
        <bgColor rgb="FFFFFFFF"/>
      </patternFill>
    </fill>
    <fill>
      <patternFill patternType="solid">
        <fgColor theme="5" tint="0.79998168889431442"/>
        <bgColor indexed="65"/>
      </patternFill>
    </fill>
    <fill>
      <patternFill patternType="solid">
        <fgColor theme="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F6EA"/>
        <bgColor indexed="64"/>
      </patternFill>
    </fill>
    <fill>
      <patternFill patternType="solid">
        <fgColor rgb="FFFFF2CC"/>
        <bgColor indexed="64"/>
      </patternFill>
    </fill>
    <fill>
      <patternFill patternType="solid">
        <fgColor theme="5" tint="0.79998168889431442"/>
        <bgColor rgb="FF000000"/>
      </patternFill>
    </fill>
    <fill>
      <patternFill patternType="solid">
        <fgColor rgb="FF1F3864"/>
        <bgColor rgb="FF333333"/>
      </patternFill>
    </fill>
    <fill>
      <patternFill patternType="solid">
        <fgColor rgb="FFEFEFEF"/>
        <bgColor rgb="FFEDF0F4"/>
      </patternFill>
    </fill>
  </fills>
  <borders count="66">
    <border>
      <left/>
      <right/>
      <top/>
      <bottom/>
      <diagonal/>
    </border>
    <border>
      <left style="thin">
        <color theme="5" tint="0.59999389629810485"/>
      </left>
      <right style="thin">
        <color theme="5" tint="0.59999389629810485"/>
      </right>
      <top style="thin">
        <color theme="5" tint="0.59999389629810485"/>
      </top>
      <bottom/>
      <diagonal/>
    </border>
    <border>
      <left style="thin">
        <color theme="5" tint="0.59999389629810485"/>
      </left>
      <right/>
      <top style="thin">
        <color theme="5" tint="0.59999389629810485"/>
      </top>
      <bottom style="thin">
        <color theme="0" tint="-4.9989318521683403E-2"/>
      </bottom>
      <diagonal/>
    </border>
    <border>
      <left style="thin">
        <color rgb="FF002060"/>
      </left>
      <right style="thin">
        <color theme="3" tint="0.59999389629810485"/>
      </right>
      <top style="thin">
        <color rgb="FF7030A0"/>
      </top>
      <bottom/>
      <diagonal/>
    </border>
    <border>
      <left style="thin">
        <color theme="3" tint="0.59999389629810485"/>
      </left>
      <right style="thin">
        <color rgb="FF7030A0"/>
      </right>
      <top style="thin">
        <color rgb="FF7030A0"/>
      </top>
      <bottom/>
      <diagonal/>
    </border>
    <border>
      <left style="thin">
        <color rgb="FF7030A0"/>
      </left>
      <right style="thin">
        <color theme="3" tint="0.59999389629810485"/>
      </right>
      <top style="thin">
        <color rgb="FF7030A0"/>
      </top>
      <bottom/>
      <diagonal/>
    </border>
    <border>
      <left style="thin">
        <color rgb="FF7030A0"/>
      </left>
      <right/>
      <top style="thin">
        <color rgb="FF7030A0"/>
      </top>
      <bottom/>
      <diagonal/>
    </border>
    <border>
      <left/>
      <right style="thin">
        <color rgb="FF7030A0"/>
      </right>
      <top style="thin">
        <color rgb="FF7030A0"/>
      </top>
      <bottom/>
      <diagonal/>
    </border>
    <border>
      <left style="thin">
        <color theme="5" tint="0.59999389629810485"/>
      </left>
      <right style="thin">
        <color theme="5" tint="0.59999389629810485"/>
      </right>
      <top/>
      <bottom/>
      <diagonal/>
    </border>
    <border>
      <left style="thin">
        <color theme="5" tint="0.59999389629810485"/>
      </left>
      <right/>
      <top style="thin">
        <color theme="0" tint="-4.9989318521683403E-2"/>
      </top>
      <bottom/>
      <diagonal/>
    </border>
    <border>
      <left style="thin">
        <color rgb="FFE4868D"/>
      </left>
      <right/>
      <top style="thin">
        <color rgb="FFE4868D"/>
      </top>
      <bottom style="thin">
        <color rgb="FFE4868D"/>
      </bottom>
      <diagonal/>
    </border>
    <border>
      <left style="thin">
        <color theme="9" tint="0.59999389629810485"/>
      </left>
      <right style="thin">
        <color theme="9" tint="0.59999389629810485"/>
      </right>
      <top style="thin">
        <color rgb="FFE4868D"/>
      </top>
      <bottom style="thin">
        <color rgb="FFE4868D"/>
      </bottom>
      <diagonal/>
    </border>
    <border>
      <left/>
      <right/>
      <top style="thin">
        <color rgb="FFE4868D"/>
      </top>
      <bottom style="thin">
        <color rgb="FFE4868D"/>
      </bottom>
      <diagonal/>
    </border>
    <border>
      <left style="thin">
        <color theme="9" tint="0.59999389629810485"/>
      </left>
      <right style="thin">
        <color rgb="FFE4868D"/>
      </right>
      <top style="thin">
        <color rgb="FFE4868D"/>
      </top>
      <bottom style="thin">
        <color rgb="FFE4868D"/>
      </bottom>
      <diagonal/>
    </border>
    <border>
      <left style="thin">
        <color theme="5" tint="0.59999389629810485"/>
      </left>
      <right style="thin">
        <color theme="9" tint="0.59999389629810485"/>
      </right>
      <top style="thin">
        <color theme="5" tint="0.59999389629810485"/>
      </top>
      <bottom/>
      <diagonal/>
    </border>
    <border>
      <left style="thin">
        <color theme="9" tint="0.59999389629810485"/>
      </left>
      <right style="thin">
        <color theme="8" tint="0.79998168889431442"/>
      </right>
      <top style="thin">
        <color theme="5" tint="0.59999389629810485"/>
      </top>
      <bottom style="thin">
        <color theme="0" tint="-4.9989318521683403E-2"/>
      </bottom>
      <diagonal/>
    </border>
    <border>
      <left style="thin">
        <color theme="9" tint="0.59999389629810485"/>
      </left>
      <right style="thin">
        <color theme="9" tint="0.59999389629810485"/>
      </right>
      <top/>
      <bottom style="thin">
        <color rgb="FFF2F0F6"/>
      </bottom>
      <diagonal/>
    </border>
    <border>
      <left/>
      <right style="thin">
        <color theme="9" tint="0.59999389629810485"/>
      </right>
      <top/>
      <bottom style="thin">
        <color rgb="FFF2F0F6"/>
      </bottom>
      <diagonal/>
    </border>
    <border>
      <left style="thin">
        <color theme="9" tint="0.59999389629810485"/>
      </left>
      <right style="thin">
        <color theme="5" tint="0.59999389629810485"/>
      </right>
      <top/>
      <bottom style="thin">
        <color rgb="FFF2F0F6"/>
      </bottom>
      <diagonal/>
    </border>
    <border>
      <left style="thin">
        <color theme="5" tint="0.59999389629810485"/>
      </left>
      <right style="thin">
        <color theme="9" tint="0.59999389629810485"/>
      </right>
      <top/>
      <bottom/>
      <diagonal/>
    </border>
    <border>
      <left style="thin">
        <color theme="9" tint="0.59999389629810485"/>
      </left>
      <right style="thin">
        <color theme="8" tint="0.79998168889431442"/>
      </right>
      <top style="thin">
        <color theme="0" tint="-4.9989318521683403E-2"/>
      </top>
      <bottom style="thin">
        <color theme="0" tint="-4.9989318521683403E-2"/>
      </bottom>
      <diagonal/>
    </border>
    <border>
      <left style="thin">
        <color theme="9" tint="0.59999389629810485"/>
      </left>
      <right style="thin">
        <color theme="9" tint="0.59999389629810485"/>
      </right>
      <top style="thin">
        <color theme="0" tint="-4.9989318521683403E-2"/>
      </top>
      <bottom style="thin">
        <color rgb="FFF2F0F6"/>
      </bottom>
      <diagonal/>
    </border>
    <border>
      <left/>
      <right style="thin">
        <color theme="9" tint="0.59999389629810485"/>
      </right>
      <top style="thin">
        <color theme="0" tint="-4.9989318521683403E-2"/>
      </top>
      <bottom style="thin">
        <color rgb="FFF2F0F6"/>
      </bottom>
      <diagonal/>
    </border>
    <border>
      <left style="thin">
        <color theme="9" tint="0.59999389629810485"/>
      </left>
      <right style="thin">
        <color theme="5" tint="0.59999389629810485"/>
      </right>
      <top style="thin">
        <color theme="0" tint="-4.9989318521683403E-2"/>
      </top>
      <bottom style="thin">
        <color rgb="FFF2F0F6"/>
      </bottom>
      <diagonal/>
    </border>
    <border>
      <left style="thin">
        <color theme="9" tint="0.59999389629810485"/>
      </left>
      <right style="thin">
        <color theme="8" tint="0.79998168889431442"/>
      </right>
      <top style="thin">
        <color theme="0" tint="-4.9989318521683403E-2"/>
      </top>
      <bottom/>
      <diagonal/>
    </border>
    <border>
      <left style="thin">
        <color theme="9" tint="0.59999389629810485"/>
      </left>
      <right style="thin">
        <color theme="8" tint="0.79998168889431442"/>
      </right>
      <top style="thin">
        <color rgb="FFFFF2CC"/>
      </top>
      <bottom style="thin">
        <color theme="0" tint="-4.9989318521683403E-2"/>
      </bottom>
      <diagonal/>
    </border>
    <border>
      <left style="thin">
        <color theme="9" tint="0.59999389629810485"/>
      </left>
      <right style="thin">
        <color theme="8" tint="0.79998168889431442"/>
      </right>
      <top style="thin">
        <color rgb="FFF2F0F6"/>
      </top>
      <bottom style="thin">
        <color theme="0" tint="-4.9989318521683403E-2"/>
      </bottom>
      <diagonal/>
    </border>
    <border>
      <left style="thin">
        <color theme="9" tint="0.59999389629810485"/>
      </left>
      <right style="thin">
        <color theme="8" tint="0.79998168889431442"/>
      </right>
      <top style="thin">
        <color theme="0" tint="-4.9989318521683403E-2"/>
      </top>
      <bottom style="thin">
        <color rgb="FFF2F0F6"/>
      </bottom>
      <diagonal/>
    </border>
    <border>
      <left style="thin">
        <color rgb="FF92D050"/>
      </left>
      <right/>
      <top style="thin">
        <color theme="0" tint="-4.9989318521683403E-2"/>
      </top>
      <bottom style="thin">
        <color rgb="FFF2F0F6"/>
      </bottom>
      <diagonal/>
    </border>
    <border>
      <left/>
      <right/>
      <top style="thin">
        <color theme="0" tint="-4.9989318521683403E-2"/>
      </top>
      <bottom style="thin">
        <color rgb="FFF2F0F6"/>
      </bottom>
      <diagonal/>
    </border>
    <border>
      <left style="thin">
        <color theme="5" tint="0.59999389629810485"/>
      </left>
      <right style="thin">
        <color theme="9" tint="0.59999389629810485"/>
      </right>
      <top/>
      <bottom style="thin">
        <color theme="5" tint="0.59999389629810485"/>
      </bottom>
      <diagonal/>
    </border>
    <border>
      <left style="thin">
        <color theme="9" tint="0.59999389629810485"/>
      </left>
      <right style="thin">
        <color theme="8" tint="0.79998168889431442"/>
      </right>
      <top style="thin">
        <color rgb="FFF2F0F6"/>
      </top>
      <bottom style="thin">
        <color theme="5" tint="0.59999389629810485"/>
      </bottom>
      <diagonal/>
    </border>
    <border>
      <left style="thin">
        <color theme="9" tint="0.59999389629810485"/>
      </left>
      <right style="thin">
        <color theme="9" tint="0.59999389629810485"/>
      </right>
      <top style="thin">
        <color theme="0" tint="-4.9989318521683403E-2"/>
      </top>
      <bottom style="thin">
        <color theme="5" tint="0.59999389629810485"/>
      </bottom>
      <diagonal/>
    </border>
    <border>
      <left/>
      <right/>
      <top style="thin">
        <color theme="0" tint="-4.9989318521683403E-2"/>
      </top>
      <bottom style="thin">
        <color theme="5" tint="0.59999389629810485"/>
      </bottom>
      <diagonal/>
    </border>
    <border>
      <left style="thin">
        <color theme="9" tint="0.59999389629810485"/>
      </left>
      <right style="thin">
        <color theme="5" tint="0.59999389629810485"/>
      </right>
      <top style="thin">
        <color theme="0" tint="-4.9989318521683403E-2"/>
      </top>
      <bottom style="thin">
        <color theme="5" tint="0.59999389629810485"/>
      </bottom>
      <diagonal/>
    </border>
    <border>
      <left style="thin">
        <color theme="5" tint="0.59999389629810485"/>
      </left>
      <right style="thin">
        <color theme="5" tint="0.59999389629810485"/>
      </right>
      <top style="thin">
        <color theme="5" tint="0.59999389629810485"/>
      </top>
      <bottom style="thin">
        <color theme="5" tint="0.59999389629810485"/>
      </bottom>
      <diagonal/>
    </border>
    <border>
      <left style="thin">
        <color theme="5" tint="0.59999389629810485"/>
      </left>
      <right/>
      <top style="thin">
        <color theme="5" tint="0.59999389629810485"/>
      </top>
      <bottom style="thin">
        <color theme="5" tint="0.59999389629810485"/>
      </bottom>
      <diagonal/>
    </border>
    <border>
      <left/>
      <right style="thin">
        <color theme="5" tint="0.59999389629810485"/>
      </right>
      <top style="thin">
        <color theme="5" tint="0.59999389629810485"/>
      </top>
      <bottom style="thin">
        <color theme="5" tint="0.59999389629810485"/>
      </bottom>
      <diagonal/>
    </border>
    <border>
      <left/>
      <right/>
      <top style="thin">
        <color theme="5" tint="0.59999389629810485"/>
      </top>
      <bottom style="thin">
        <color theme="5" tint="0.59999389629810485"/>
      </bottom>
      <diagonal/>
    </border>
    <border>
      <left style="thin">
        <color indexed="64"/>
      </left>
      <right style="thin">
        <color indexed="64"/>
      </right>
      <top style="thin">
        <color auto="1"/>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rgb="FFD9D9D9"/>
      </left>
      <right style="thin">
        <color rgb="FFD9D9D9"/>
      </right>
      <top style="thin">
        <color rgb="FFD9D9D9"/>
      </top>
      <bottom style="thin">
        <color rgb="FFD9D9D9"/>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s>
  <cellStyleXfs count="4">
    <xf numFmtId="0" fontId="0" fillId="0" borderId="0"/>
    <xf numFmtId="0" fontId="1" fillId="5" borderId="0" applyNumberFormat="0" applyBorder="0" applyAlignment="0" applyProtection="0"/>
    <xf numFmtId="0" fontId="1" fillId="0" borderId="0"/>
    <xf numFmtId="9" fontId="1" fillId="0" borderId="0" applyFont="0" applyFill="0" applyBorder="0" applyAlignment="0" applyProtection="0"/>
  </cellStyleXfs>
  <cellXfs count="135">
    <xf numFmtId="0" fontId="0" fillId="0" borderId="0" xfId="0"/>
    <xf numFmtId="0" fontId="0" fillId="0" borderId="0" xfId="0" applyAlignment="1">
      <alignment wrapText="1"/>
    </xf>
    <xf numFmtId="0" fontId="3" fillId="0" borderId="0" xfId="0" applyFont="1"/>
    <xf numFmtId="0" fontId="4" fillId="2" borderId="0" xfId="0" applyFont="1" applyFill="1" applyAlignment="1">
      <alignment horizontal="center" vertical="center" wrapText="1"/>
    </xf>
    <xf numFmtId="0" fontId="7" fillId="0" borderId="0" xfId="0" applyFont="1"/>
    <xf numFmtId="0" fontId="8" fillId="0" borderId="0" xfId="0" applyFont="1"/>
    <xf numFmtId="0" fontId="10" fillId="6" borderId="0" xfId="2" applyFont="1" applyFill="1"/>
    <xf numFmtId="166" fontId="12" fillId="7" borderId="10" xfId="2" applyNumberFormat="1" applyFont="1" applyFill="1" applyBorder="1" applyAlignment="1">
      <alignment horizontal="center" vertical="center" wrapText="1"/>
    </xf>
    <xf numFmtId="166" fontId="12" fillId="8" borderId="11" xfId="2" applyNumberFormat="1" applyFont="1" applyFill="1" applyBorder="1" applyAlignment="1">
      <alignment horizontal="center" vertical="center" wrapText="1"/>
    </xf>
    <xf numFmtId="166" fontId="12" fillId="7" borderId="12" xfId="2" applyNumberFormat="1" applyFont="1" applyFill="1" applyBorder="1" applyAlignment="1">
      <alignment horizontal="center" vertical="center" wrapText="1"/>
    </xf>
    <xf numFmtId="166" fontId="12" fillId="8" borderId="13" xfId="2" applyNumberFormat="1" applyFont="1" applyFill="1" applyBorder="1" applyAlignment="1">
      <alignment horizontal="center" vertical="center" wrapText="1"/>
    </xf>
    <xf numFmtId="0" fontId="12" fillId="6" borderId="15" xfId="2" applyFont="1" applyFill="1" applyBorder="1" applyAlignment="1">
      <alignment horizontal="center" vertical="center"/>
    </xf>
    <xf numFmtId="0" fontId="10" fillId="6" borderId="16" xfId="2" applyFont="1" applyFill="1" applyBorder="1" applyAlignment="1">
      <alignment horizontal="center" vertical="center"/>
    </xf>
    <xf numFmtId="0" fontId="10" fillId="6" borderId="17" xfId="2" applyFont="1" applyFill="1" applyBorder="1" applyAlignment="1">
      <alignment horizontal="center" vertical="center"/>
    </xf>
    <xf numFmtId="0" fontId="10" fillId="6" borderId="18" xfId="2" applyFont="1" applyFill="1" applyBorder="1" applyAlignment="1">
      <alignment horizontal="center" vertical="center"/>
    </xf>
    <xf numFmtId="0" fontId="12" fillId="6" borderId="20" xfId="2" applyFont="1" applyFill="1" applyBorder="1" applyAlignment="1">
      <alignment horizontal="center" vertical="center"/>
    </xf>
    <xf numFmtId="0" fontId="10" fillId="6" borderId="21" xfId="2" applyFont="1" applyFill="1" applyBorder="1" applyAlignment="1">
      <alignment horizontal="center" vertical="center"/>
    </xf>
    <xf numFmtId="0" fontId="10" fillId="6" borderId="22" xfId="2" applyFont="1" applyFill="1" applyBorder="1" applyAlignment="1">
      <alignment horizontal="center" vertical="center"/>
    </xf>
    <xf numFmtId="0" fontId="10" fillId="6" borderId="23" xfId="2" applyFont="1" applyFill="1" applyBorder="1" applyAlignment="1">
      <alignment horizontal="center" vertical="center"/>
    </xf>
    <xf numFmtId="0" fontId="12" fillId="6" borderId="24" xfId="2" applyFont="1" applyFill="1" applyBorder="1" applyAlignment="1">
      <alignment horizontal="center" vertical="center"/>
    </xf>
    <xf numFmtId="0" fontId="12" fillId="6" borderId="25" xfId="2" applyFont="1" applyFill="1" applyBorder="1" applyAlignment="1">
      <alignment horizontal="center" vertical="center"/>
    </xf>
    <xf numFmtId="0" fontId="10" fillId="6" borderId="26" xfId="2" applyFont="1" applyFill="1" applyBorder="1" applyAlignment="1">
      <alignment horizontal="center" vertical="center"/>
    </xf>
    <xf numFmtId="0" fontId="10" fillId="6" borderId="20" xfId="2" applyFont="1" applyFill="1" applyBorder="1" applyAlignment="1">
      <alignment horizontal="center" vertical="center"/>
    </xf>
    <xf numFmtId="0" fontId="10" fillId="6" borderId="27" xfId="2" applyFont="1" applyFill="1" applyBorder="1" applyAlignment="1">
      <alignment horizontal="center" vertical="center"/>
    </xf>
    <xf numFmtId="0" fontId="10" fillId="6" borderId="28" xfId="2" applyFont="1" applyFill="1" applyBorder="1" applyAlignment="1">
      <alignment horizontal="center" vertical="center"/>
    </xf>
    <xf numFmtId="0" fontId="10" fillId="6" borderId="29" xfId="2" applyFont="1" applyFill="1" applyBorder="1" applyAlignment="1">
      <alignment horizontal="center" vertical="center"/>
    </xf>
    <xf numFmtId="0" fontId="10" fillId="6" borderId="31" xfId="2" applyFont="1" applyFill="1" applyBorder="1" applyAlignment="1">
      <alignment horizontal="center" vertical="center"/>
    </xf>
    <xf numFmtId="0" fontId="10" fillId="6" borderId="32" xfId="2" applyFont="1" applyFill="1" applyBorder="1" applyAlignment="1">
      <alignment horizontal="center" vertical="center"/>
    </xf>
    <xf numFmtId="0" fontId="10" fillId="6" borderId="33" xfId="2" applyFont="1" applyFill="1" applyBorder="1" applyAlignment="1">
      <alignment horizontal="center" vertical="center"/>
    </xf>
    <xf numFmtId="0" fontId="10" fillId="6" borderId="34" xfId="2" applyFont="1" applyFill="1" applyBorder="1" applyAlignment="1">
      <alignment horizontal="center" vertical="center"/>
    </xf>
    <xf numFmtId="0" fontId="13" fillId="0" borderId="0" xfId="2" applyFont="1" applyAlignment="1">
      <alignment horizontal="center" vertical="center" wrapText="1"/>
    </xf>
    <xf numFmtId="0" fontId="10" fillId="6" borderId="0" xfId="2" applyFont="1" applyFill="1" applyAlignment="1">
      <alignment horizontal="left" vertical="center"/>
    </xf>
    <xf numFmtId="14" fontId="12" fillId="9" borderId="35" xfId="2" applyNumberFormat="1" applyFont="1" applyFill="1" applyBorder="1" applyAlignment="1">
      <alignment horizontal="center" vertical="center" wrapText="1"/>
    </xf>
    <xf numFmtId="1" fontId="14" fillId="6" borderId="0" xfId="2" applyNumberFormat="1" applyFont="1" applyFill="1"/>
    <xf numFmtId="166" fontId="12" fillId="10" borderId="35" xfId="2" applyNumberFormat="1" applyFont="1" applyFill="1" applyBorder="1" applyAlignment="1">
      <alignment horizontal="center" vertical="center" wrapText="1"/>
    </xf>
    <xf numFmtId="0" fontId="10" fillId="11" borderId="35" xfId="2" applyFont="1" applyFill="1" applyBorder="1" applyAlignment="1">
      <alignment horizontal="center" vertical="center"/>
    </xf>
    <xf numFmtId="0" fontId="10" fillId="6" borderId="0" xfId="2" applyFont="1" applyFill="1" applyAlignment="1">
      <alignment horizontal="left"/>
    </xf>
    <xf numFmtId="0" fontId="13" fillId="6" borderId="35" xfId="2" applyFont="1" applyFill="1" applyBorder="1" applyAlignment="1">
      <alignment horizontal="center" vertical="center"/>
    </xf>
    <xf numFmtId="0" fontId="10" fillId="6" borderId="35" xfId="2" applyFont="1" applyFill="1" applyBorder="1"/>
    <xf numFmtId="0" fontId="0" fillId="0" borderId="41" xfId="0" applyBorder="1" applyAlignment="1">
      <alignment vertical="center"/>
    </xf>
    <xf numFmtId="0" fontId="0" fillId="0" borderId="43" xfId="0" applyBorder="1" applyAlignment="1">
      <alignment vertical="center"/>
    </xf>
    <xf numFmtId="0" fontId="0" fillId="0" borderId="43" xfId="0" applyBorder="1" applyAlignment="1">
      <alignment vertical="center" wrapText="1"/>
    </xf>
    <xf numFmtId="0" fontId="0" fillId="0" borderId="40" xfId="0" applyBorder="1" applyAlignment="1">
      <alignment vertical="center"/>
    </xf>
    <xf numFmtId="0" fontId="0" fillId="0" borderId="0" xfId="0" applyAlignment="1">
      <alignment horizontal="center" vertical="center"/>
    </xf>
    <xf numFmtId="0" fontId="4" fillId="2" borderId="42" xfId="0" applyFont="1" applyFill="1" applyBorder="1" applyAlignment="1">
      <alignment horizontal="center" vertical="center" wrapText="1"/>
    </xf>
    <xf numFmtId="0" fontId="5" fillId="0" borderId="42" xfId="0" applyFont="1" applyBorder="1"/>
    <xf numFmtId="0" fontId="5" fillId="4" borderId="42" xfId="0" applyFont="1" applyFill="1" applyBorder="1" applyAlignment="1">
      <alignment horizontal="center" vertical="center"/>
    </xf>
    <xf numFmtId="0" fontId="0" fillId="0" borderId="42" xfId="0" applyBorder="1" applyAlignment="1">
      <alignment horizontal="center" vertical="center"/>
    </xf>
    <xf numFmtId="0" fontId="4" fillId="2" borderId="39" xfId="0" applyFont="1" applyFill="1" applyBorder="1" applyAlignment="1">
      <alignment horizontal="center" vertical="center" wrapText="1"/>
    </xf>
    <xf numFmtId="0" fontId="5" fillId="4" borderId="48" xfId="0" applyFont="1" applyFill="1" applyBorder="1" applyAlignment="1">
      <alignment horizontal="center" vertical="center"/>
    </xf>
    <xf numFmtId="0" fontId="5" fillId="4" borderId="49" xfId="0" applyFont="1" applyFill="1" applyBorder="1" applyAlignment="1">
      <alignment horizontal="center" vertical="center"/>
    </xf>
    <xf numFmtId="0" fontId="5" fillId="4" borderId="50" xfId="0" applyFont="1" applyFill="1" applyBorder="1" applyAlignment="1">
      <alignment horizontal="center" vertical="center"/>
    </xf>
    <xf numFmtId="0" fontId="5" fillId="4"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4" borderId="54" xfId="0" applyFont="1" applyFill="1" applyBorder="1" applyAlignment="1">
      <alignment horizontal="center" vertical="center"/>
    </xf>
    <xf numFmtId="0" fontId="5" fillId="4" borderId="55" xfId="0" applyFont="1" applyFill="1" applyBorder="1" applyAlignment="1">
      <alignment horizontal="center" vertical="center"/>
    </xf>
    <xf numFmtId="0" fontId="5" fillId="4" borderId="56" xfId="0" applyFont="1" applyFill="1" applyBorder="1" applyAlignment="1">
      <alignment horizontal="center" vertical="center"/>
    </xf>
    <xf numFmtId="165" fontId="5" fillId="0" borderId="45" xfId="0" applyNumberFormat="1" applyFont="1" applyBorder="1"/>
    <xf numFmtId="0" fontId="4" fillId="3" borderId="39" xfId="0" applyFont="1" applyFill="1" applyBorder="1" applyAlignment="1">
      <alignment horizontal="center" vertical="center" wrapText="1"/>
    </xf>
    <xf numFmtId="0" fontId="5" fillId="4" borderId="57" xfId="0" applyFont="1" applyFill="1" applyBorder="1" applyAlignment="1">
      <alignment horizontal="center" vertical="center"/>
    </xf>
    <xf numFmtId="0" fontId="5" fillId="0" borderId="49" xfId="0" applyFont="1" applyBorder="1" applyAlignment="1">
      <alignment horizontal="center" vertical="center"/>
    </xf>
    <xf numFmtId="0" fontId="5" fillId="4" borderId="58" xfId="0" applyFont="1" applyFill="1" applyBorder="1" applyAlignment="1">
      <alignment horizontal="center" vertical="center"/>
    </xf>
    <xf numFmtId="0" fontId="5" fillId="0" borderId="48" xfId="0" applyFont="1" applyBorder="1" applyAlignment="1">
      <alignment horizontal="center" vertical="center"/>
    </xf>
    <xf numFmtId="0" fontId="6" fillId="0" borderId="42" xfId="0" applyFont="1" applyBorder="1" applyAlignment="1">
      <alignment horizontal="right" vertical="center"/>
    </xf>
    <xf numFmtId="164" fontId="0" fillId="0" borderId="0" xfId="0" applyNumberFormat="1" applyAlignment="1">
      <alignment vertical="center"/>
    </xf>
    <xf numFmtId="164" fontId="0" fillId="0" borderId="44" xfId="0" applyNumberFormat="1" applyBorder="1" applyAlignment="1">
      <alignment horizontal="center" vertical="center"/>
    </xf>
    <xf numFmtId="165" fontId="0" fillId="0" borderId="42" xfId="0" applyNumberFormat="1" applyBorder="1" applyAlignment="1">
      <alignment horizontal="center" vertical="center"/>
    </xf>
    <xf numFmtId="0" fontId="0" fillId="0" borderId="42" xfId="0" applyBorder="1" applyAlignment="1">
      <alignment horizontal="center" vertical="center" wrapText="1"/>
    </xf>
    <xf numFmtId="0" fontId="0" fillId="0" borderId="45" xfId="0" applyBorder="1" applyAlignment="1">
      <alignment horizontal="center" vertical="center"/>
    </xf>
    <xf numFmtId="164" fontId="0" fillId="0" borderId="46" xfId="0" applyNumberFormat="1" applyBorder="1" applyAlignment="1">
      <alignment horizontal="center" vertical="center"/>
    </xf>
    <xf numFmtId="165" fontId="0" fillId="0" borderId="39" xfId="0" applyNumberFormat="1" applyBorder="1" applyAlignment="1">
      <alignment horizontal="center" vertical="center"/>
    </xf>
    <xf numFmtId="0" fontId="0" fillId="0" borderId="39" xfId="0" applyBorder="1" applyAlignment="1">
      <alignment horizontal="center" vertical="center"/>
    </xf>
    <xf numFmtId="0" fontId="0" fillId="0" borderId="39" xfId="0" applyBorder="1" applyAlignment="1">
      <alignment horizontal="center" vertical="center" wrapText="1"/>
    </xf>
    <xf numFmtId="0" fontId="0" fillId="0" borderId="47" xfId="0" applyBorder="1" applyAlignment="1">
      <alignment horizontal="center" vertical="center"/>
    </xf>
    <xf numFmtId="164" fontId="0" fillId="0" borderId="42" xfId="0" applyNumberFormat="1" applyBorder="1" applyAlignment="1">
      <alignment horizontal="center" vertical="center"/>
    </xf>
    <xf numFmtId="3" fontId="0" fillId="4" borderId="48" xfId="0" applyNumberFormat="1" applyFill="1" applyBorder="1" applyAlignment="1">
      <alignment horizontal="center" vertical="center"/>
    </xf>
    <xf numFmtId="1" fontId="5" fillId="0" borderId="48" xfId="0" applyNumberFormat="1" applyFont="1" applyBorder="1" applyAlignment="1">
      <alignment horizontal="center" vertical="center"/>
    </xf>
    <xf numFmtId="3" fontId="5" fillId="0" borderId="48" xfId="0" applyNumberFormat="1" applyFont="1" applyBorder="1" applyAlignment="1">
      <alignment horizontal="center" vertical="center"/>
    </xf>
    <xf numFmtId="2" fontId="5" fillId="0" borderId="48" xfId="0" applyNumberFormat="1" applyFont="1" applyBorder="1" applyAlignment="1">
      <alignment horizontal="center" vertical="center"/>
    </xf>
    <xf numFmtId="3" fontId="0" fillId="4" borderId="55" xfId="0" applyNumberFormat="1" applyFill="1" applyBorder="1" applyAlignment="1">
      <alignment horizontal="center" vertical="center"/>
    </xf>
    <xf numFmtId="165" fontId="0" fillId="0" borderId="42" xfId="0" applyNumberFormat="1" applyBorder="1"/>
    <xf numFmtId="165" fontId="0" fillId="0" borderId="43" xfId="0" applyNumberFormat="1" applyBorder="1"/>
    <xf numFmtId="3" fontId="0" fillId="4" borderId="59" xfId="0" applyNumberFormat="1" applyFill="1" applyBorder="1" applyAlignment="1">
      <alignment horizontal="center" vertical="center"/>
    </xf>
    <xf numFmtId="3" fontId="0" fillId="4" borderId="60" xfId="0" applyNumberFormat="1" applyFill="1" applyBorder="1" applyAlignment="1">
      <alignment horizontal="center" vertical="center"/>
    </xf>
    <xf numFmtId="1" fontId="5" fillId="0" borderId="60" xfId="0" applyNumberFormat="1" applyFont="1" applyBorder="1" applyAlignment="1">
      <alignment horizontal="center" vertical="center"/>
    </xf>
    <xf numFmtId="3" fontId="5" fillId="0" borderId="60" xfId="0" applyNumberFormat="1" applyFont="1" applyBorder="1" applyAlignment="1">
      <alignment horizontal="center" vertical="center"/>
    </xf>
    <xf numFmtId="2" fontId="5" fillId="0" borderId="60" xfId="0" applyNumberFormat="1" applyFont="1" applyBorder="1" applyAlignment="1">
      <alignment horizontal="center" vertical="center"/>
    </xf>
    <xf numFmtId="0" fontId="4" fillId="3" borderId="42" xfId="0" applyFont="1" applyFill="1" applyBorder="1" applyAlignment="1">
      <alignment horizontal="center" vertical="center" wrapText="1"/>
    </xf>
    <xf numFmtId="2" fontId="5" fillId="0" borderId="61" xfId="0" applyNumberFormat="1" applyFont="1" applyBorder="1" applyAlignment="1">
      <alignment horizontal="center" vertical="center"/>
    </xf>
    <xf numFmtId="2" fontId="5" fillId="0" borderId="51" xfId="0" applyNumberFormat="1" applyFont="1" applyBorder="1" applyAlignment="1">
      <alignment horizontal="center" vertical="center"/>
    </xf>
    <xf numFmtId="3" fontId="0" fillId="4" borderId="56" xfId="0" applyNumberFormat="1" applyFill="1" applyBorder="1" applyAlignment="1">
      <alignment horizontal="center" vertical="center"/>
    </xf>
    <xf numFmtId="3" fontId="0" fillId="4" borderId="52" xfId="0" applyNumberFormat="1" applyFill="1" applyBorder="1" applyAlignment="1">
      <alignment horizontal="center" vertical="center"/>
    </xf>
    <xf numFmtId="1" fontId="5" fillId="0" borderId="52" xfId="0" applyNumberFormat="1" applyFont="1" applyBorder="1" applyAlignment="1">
      <alignment horizontal="center" vertical="center"/>
    </xf>
    <xf numFmtId="3" fontId="5" fillId="0" borderId="52" xfId="0" applyNumberFormat="1" applyFont="1" applyBorder="1" applyAlignment="1">
      <alignment horizontal="center" vertical="center"/>
    </xf>
    <xf numFmtId="2" fontId="5" fillId="0" borderId="52" xfId="0" applyNumberFormat="1" applyFont="1" applyBorder="1" applyAlignment="1">
      <alignment horizontal="center" vertical="center"/>
    </xf>
    <xf numFmtId="2" fontId="5" fillId="0" borderId="53" xfId="0" applyNumberFormat="1" applyFont="1" applyBorder="1" applyAlignment="1">
      <alignment horizontal="center" vertical="center"/>
    </xf>
    <xf numFmtId="0" fontId="17" fillId="12" borderId="62" xfId="0" applyFont="1" applyFill="1" applyBorder="1" applyAlignment="1">
      <alignment horizontal="center" vertical="center" wrapText="1"/>
    </xf>
    <xf numFmtId="0" fontId="18" fillId="13" borderId="62" xfId="0" applyFont="1" applyFill="1" applyBorder="1"/>
    <xf numFmtId="0" fontId="2" fillId="0" borderId="62" xfId="0" applyFont="1" applyBorder="1"/>
    <xf numFmtId="167" fontId="2" fillId="0" borderId="62" xfId="0" applyNumberFormat="1" applyFont="1" applyBorder="1"/>
    <xf numFmtId="165" fontId="18" fillId="13" borderId="62" xfId="0" applyNumberFormat="1" applyFont="1" applyFill="1" applyBorder="1"/>
    <xf numFmtId="167" fontId="18" fillId="13" borderId="62" xfId="0" applyNumberFormat="1" applyFont="1" applyFill="1" applyBorder="1"/>
    <xf numFmtId="167" fontId="0" fillId="0" borderId="0" xfId="0" applyNumberFormat="1"/>
    <xf numFmtId="0" fontId="5" fillId="0" borderId="42" xfId="0" applyFont="1" applyBorder="1" applyAlignment="1">
      <alignment horizontal="center" vertical="center"/>
    </xf>
    <xf numFmtId="0" fontId="10" fillId="6" borderId="36" xfId="2" applyFont="1" applyFill="1" applyBorder="1" applyAlignment="1">
      <alignment horizontal="left" vertical="center"/>
    </xf>
    <xf numFmtId="0" fontId="10" fillId="6" borderId="38" xfId="2" applyFont="1" applyFill="1" applyBorder="1" applyAlignment="1">
      <alignment horizontal="left" vertical="center"/>
    </xf>
    <xf numFmtId="0" fontId="10" fillId="6" borderId="37" xfId="2" applyFont="1" applyFill="1" applyBorder="1" applyAlignment="1">
      <alignment horizontal="left" vertical="center"/>
    </xf>
    <xf numFmtId="0" fontId="13" fillId="6" borderId="35" xfId="2" applyFont="1" applyFill="1" applyBorder="1" applyAlignment="1">
      <alignment horizontal="center"/>
    </xf>
    <xf numFmtId="1" fontId="15" fillId="5" borderId="36" xfId="1" applyNumberFormat="1" applyFont="1" applyBorder="1" applyAlignment="1">
      <alignment horizontal="center" vertical="center"/>
    </xf>
    <xf numFmtId="1" fontId="15" fillId="5" borderId="37" xfId="1" applyNumberFormat="1" applyFont="1" applyBorder="1" applyAlignment="1">
      <alignment horizontal="center" vertical="center"/>
    </xf>
    <xf numFmtId="9" fontId="10" fillId="11" borderId="36" xfId="3" applyFont="1" applyFill="1" applyBorder="1" applyAlignment="1">
      <alignment horizontal="center" vertical="center"/>
    </xf>
    <xf numFmtId="9" fontId="10" fillId="11" borderId="37" xfId="3" applyFont="1" applyFill="1" applyBorder="1" applyAlignment="1">
      <alignment horizontal="center" vertical="center"/>
    </xf>
    <xf numFmtId="1" fontId="11" fillId="10" borderId="36" xfId="2" applyNumberFormat="1" applyFont="1" applyFill="1" applyBorder="1" applyAlignment="1">
      <alignment horizontal="center" vertical="center" wrapText="1"/>
    </xf>
    <xf numFmtId="1" fontId="11" fillId="10" borderId="37" xfId="2" applyNumberFormat="1" applyFont="1" applyFill="1" applyBorder="1" applyAlignment="1">
      <alignment horizontal="center" vertical="center" wrapText="1"/>
    </xf>
    <xf numFmtId="166" fontId="11" fillId="6" borderId="6" xfId="2" applyNumberFormat="1" applyFont="1" applyFill="1" applyBorder="1" applyAlignment="1">
      <alignment horizontal="center" vertical="center"/>
    </xf>
    <xf numFmtId="166" fontId="11" fillId="6" borderId="7" xfId="2" applyNumberFormat="1" applyFont="1" applyFill="1" applyBorder="1" applyAlignment="1">
      <alignment horizontal="center" vertical="center"/>
    </xf>
    <xf numFmtId="1" fontId="11" fillId="9" borderId="36" xfId="2" applyNumberFormat="1" applyFont="1" applyFill="1" applyBorder="1" applyAlignment="1">
      <alignment horizontal="center" vertical="center" wrapText="1"/>
    </xf>
    <xf numFmtId="1" fontId="11" fillId="9" borderId="37" xfId="2" applyNumberFormat="1" applyFont="1" applyFill="1" applyBorder="1" applyAlignment="1">
      <alignment horizontal="center" vertical="center" wrapText="1"/>
    </xf>
    <xf numFmtId="0" fontId="11" fillId="0" borderId="14" xfId="2" applyFont="1" applyBorder="1" applyAlignment="1">
      <alignment horizontal="center" vertical="center"/>
    </xf>
    <xf numFmtId="0" fontId="11" fillId="0" borderId="19" xfId="2" applyFont="1" applyBorder="1" applyAlignment="1">
      <alignment horizontal="center" vertical="center"/>
    </xf>
    <xf numFmtId="0" fontId="11" fillId="0" borderId="30" xfId="2" applyFont="1" applyBorder="1" applyAlignment="1">
      <alignment horizontal="center" vertical="center"/>
    </xf>
    <xf numFmtId="0" fontId="9" fillId="6" borderId="0" xfId="2" applyFont="1" applyFill="1" applyAlignment="1">
      <alignment horizontal="center" vertical="center"/>
    </xf>
    <xf numFmtId="0" fontId="16" fillId="6" borderId="1" xfId="2" applyFont="1" applyFill="1" applyBorder="1" applyAlignment="1">
      <alignment horizontal="center" vertical="center" wrapText="1"/>
    </xf>
    <xf numFmtId="0" fontId="16" fillId="6" borderId="8" xfId="2" applyFont="1" applyFill="1" applyBorder="1" applyAlignment="1">
      <alignment horizontal="center" vertical="center" wrapText="1"/>
    </xf>
    <xf numFmtId="0" fontId="16" fillId="6" borderId="2" xfId="2" applyFont="1" applyFill="1" applyBorder="1" applyAlignment="1">
      <alignment horizontal="center" vertical="center"/>
    </xf>
    <xf numFmtId="0" fontId="16" fillId="6" borderId="9" xfId="2" applyFont="1" applyFill="1" applyBorder="1" applyAlignment="1">
      <alignment horizontal="center" vertical="center"/>
    </xf>
    <xf numFmtId="166" fontId="11" fillId="6" borderId="3" xfId="2" applyNumberFormat="1" applyFont="1" applyFill="1" applyBorder="1" applyAlignment="1">
      <alignment horizontal="center" vertical="center"/>
    </xf>
    <xf numFmtId="166" fontId="11" fillId="6" borderId="4" xfId="2" applyNumberFormat="1" applyFont="1" applyFill="1" applyBorder="1" applyAlignment="1">
      <alignment horizontal="center" vertical="center"/>
    </xf>
    <xf numFmtId="166" fontId="11" fillId="6" borderId="5" xfId="2" applyNumberFormat="1" applyFont="1" applyFill="1" applyBorder="1" applyAlignment="1">
      <alignment horizontal="center" vertical="center"/>
    </xf>
    <xf numFmtId="0" fontId="5" fillId="4" borderId="63" xfId="0" applyFont="1" applyFill="1" applyBorder="1" applyAlignment="1">
      <alignment horizontal="center" vertical="center"/>
    </xf>
    <xf numFmtId="0" fontId="5" fillId="0" borderId="64" xfId="0" applyFont="1" applyBorder="1" applyAlignment="1">
      <alignment horizontal="center" vertical="center"/>
    </xf>
    <xf numFmtId="0" fontId="5" fillId="4" borderId="64" xfId="0" applyFont="1" applyFill="1" applyBorder="1" applyAlignment="1">
      <alignment horizontal="center" vertical="center"/>
    </xf>
    <xf numFmtId="0" fontId="5" fillId="4" borderId="65" xfId="0" applyFont="1" applyFill="1" applyBorder="1" applyAlignment="1">
      <alignment horizontal="center" vertical="center"/>
    </xf>
    <xf numFmtId="0" fontId="6" fillId="0" borderId="42" xfId="0" applyFont="1" applyBorder="1" applyAlignment="1">
      <alignment horizontal="center" vertical="center"/>
    </xf>
  </cellXfs>
  <cellStyles count="4">
    <cellStyle name="20% - Accent2" xfId="1" builtinId="34"/>
    <cellStyle name="Normal" xfId="0" builtinId="0"/>
    <cellStyle name="Normal 2" xfId="2" xr:uid="{F3474F37-51EB-46AA-AAED-9736BAD685BB}"/>
    <cellStyle name="Percent 2" xfId="3" xr:uid="{B314B368-461E-4BF6-8D61-A45D3A6B7284}"/>
  </cellStyles>
  <dxfs count="19">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2E7D32"/>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MUDBHARI\Downloads\QTC_HSE_Data_Workbook%20(2).xlsx" TargetMode="External"/><Relationship Id="rId1" Type="http://schemas.openxmlformats.org/officeDocument/2006/relationships/externalLinkPath" Target="QTC_HSE_Data_Workbook%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Start Here"/>
      <sheetName val="KPI_Monthly"/>
      <sheetName val="Incidents"/>
      <sheetName val="Zone_KPI"/>
      <sheetName val="Violations"/>
      <sheetName val="Trainings"/>
      <sheetName val="Employees"/>
      <sheetName val="Lists"/>
      <sheetName val="Dim_Date"/>
      <sheetName val="Training Type"/>
      <sheetName val="Triangle Level"/>
      <sheetName val="Calc"/>
    </sheetNames>
    <sheetDataSet>
      <sheetData sheetId="0"/>
      <sheetData sheetId="1"/>
      <sheetData sheetId="2"/>
      <sheetData sheetId="3"/>
      <sheetData sheetId="4"/>
      <sheetData sheetId="5"/>
      <sheetData sheetId="6"/>
      <sheetData sheetId="7">
        <row r="2">
          <cell r="A2" t="str">
            <v>2586386308</v>
          </cell>
          <cell r="B2" t="str">
            <v>-</v>
          </cell>
          <cell r="C2" t="str">
            <v>-</v>
          </cell>
          <cell r="D2"/>
        </row>
        <row r="3">
          <cell r="A3" t="str">
            <v>2479259422</v>
          </cell>
          <cell r="B3" t="str">
            <v>AL akbar</v>
          </cell>
          <cell r="C3" t="str">
            <v>VEOLIA</v>
          </cell>
          <cell r="D3" t="str">
            <v>supervisor</v>
          </cell>
        </row>
        <row r="4">
          <cell r="A4" t="str">
            <v>2358080378</v>
          </cell>
          <cell r="B4" t="str">
            <v>ANG Phuri Sherpa</v>
          </cell>
          <cell r="C4" t="str">
            <v>PRAINSA</v>
          </cell>
          <cell r="D4" t="str">
            <v>Foreman</v>
          </cell>
        </row>
        <row r="5">
          <cell r="A5" t="str">
            <v>2246587659</v>
          </cell>
          <cell r="B5" t="str">
            <v>Aamir Farooq</v>
          </cell>
          <cell r="C5" t="str">
            <v>ELITE HEART</v>
          </cell>
          <cell r="D5" t="str">
            <v>Steel Fixer</v>
          </cell>
        </row>
        <row r="6">
          <cell r="A6" t="str">
            <v>2612029435</v>
          </cell>
          <cell r="B6" t="str">
            <v>Aamir Khan</v>
          </cell>
          <cell r="C6" t="str">
            <v>ELITE HEART</v>
          </cell>
          <cell r="D6" t="str">
            <v>Steel Fixer</v>
          </cell>
        </row>
        <row r="7">
          <cell r="A7" t="str">
            <v>2308352372</v>
          </cell>
          <cell r="B7" t="str">
            <v>Aamir Nadeem</v>
          </cell>
          <cell r="C7" t="str">
            <v>BUILDING ROOTS</v>
          </cell>
          <cell r="D7" t="str">
            <v>Steel Fixer</v>
          </cell>
        </row>
        <row r="8">
          <cell r="A8" t="str">
            <v>2429015437</v>
          </cell>
          <cell r="B8" t="str">
            <v>Abas</v>
          </cell>
          <cell r="C8" t="str">
            <v>ALMABANI CONT.</v>
          </cell>
          <cell r="D8" t="str">
            <v>Surveyor Helper</v>
          </cell>
        </row>
        <row r="9">
          <cell r="A9" t="str">
            <v>2400480969</v>
          </cell>
          <cell r="B9" t="str">
            <v>Abas</v>
          </cell>
          <cell r="C9" t="str">
            <v>Cretec</v>
          </cell>
          <cell r="D9" t="str">
            <v>labor</v>
          </cell>
        </row>
        <row r="10">
          <cell r="A10" t="str">
            <v>2627629849</v>
          </cell>
          <cell r="B10" t="str">
            <v>Abbas Ali Akhtar</v>
          </cell>
          <cell r="C10" t="str">
            <v>BUILDING ROOTS</v>
          </cell>
          <cell r="D10" t="str">
            <v>Scaffolder</v>
          </cell>
        </row>
        <row r="11">
          <cell r="A11" t="str">
            <v>2592218529</v>
          </cell>
          <cell r="B11" t="str">
            <v>Abbas Zeb</v>
          </cell>
          <cell r="C11" t="str">
            <v>ELITE HEART</v>
          </cell>
          <cell r="D11" t="str">
            <v>Labour</v>
          </cell>
        </row>
        <row r="12">
          <cell r="A12" t="str">
            <v>2323375317</v>
          </cell>
          <cell r="B12" t="str">
            <v>Abbass Khan</v>
          </cell>
          <cell r="C12" t="str">
            <v>ELITE HEART</v>
          </cell>
          <cell r="D12" t="str">
            <v>Carpenter</v>
          </cell>
        </row>
        <row r="13">
          <cell r="A13" t="str">
            <v>2516971153</v>
          </cell>
          <cell r="B13" t="str">
            <v>Abdalla Fauda</v>
          </cell>
          <cell r="C13" t="str">
            <v>ELITE HEART</v>
          </cell>
          <cell r="D13" t="str">
            <v>Labour</v>
          </cell>
        </row>
        <row r="14">
          <cell r="A14" t="str">
            <v>2506141999</v>
          </cell>
          <cell r="B14" t="str">
            <v>Abdel Rahman</v>
          </cell>
          <cell r="C14" t="str">
            <v>ANNAQ</v>
          </cell>
          <cell r="D14" t="str">
            <v>Supervisor</v>
          </cell>
        </row>
        <row r="15">
          <cell r="A15" t="str">
            <v>1092625720</v>
          </cell>
          <cell r="B15" t="str">
            <v>Abdelaziz Ahmed</v>
          </cell>
          <cell r="C15" t="str">
            <v>NFT</v>
          </cell>
          <cell r="D15" t="str">
            <v>Mechanical Team</v>
          </cell>
        </row>
        <row r="16">
          <cell r="A16" t="str">
            <v>2538488210</v>
          </cell>
          <cell r="B16" t="str">
            <v>Abdelhakam Idrees</v>
          </cell>
          <cell r="C16" t="str">
            <v>APPLUS ARABIA</v>
          </cell>
          <cell r="D16" t="str">
            <v>Geologist</v>
          </cell>
        </row>
        <row r="17">
          <cell r="A17" t="str">
            <v>2574553844</v>
          </cell>
          <cell r="B17" t="str">
            <v>Abdelhamed Ahmed</v>
          </cell>
          <cell r="C17" t="str">
            <v>ELITE HEART</v>
          </cell>
          <cell r="D17" t="str">
            <v>Painter</v>
          </cell>
        </row>
        <row r="18">
          <cell r="A18" t="str">
            <v>2232249389</v>
          </cell>
          <cell r="B18" t="str">
            <v>Abdelrahman</v>
          </cell>
          <cell r="C18" t="str">
            <v>ELITE HEART</v>
          </cell>
          <cell r="D18" t="str">
            <v>Supervisor</v>
          </cell>
        </row>
        <row r="19">
          <cell r="A19" t="str">
            <v>2610739126</v>
          </cell>
          <cell r="B19" t="str">
            <v>Abdo</v>
          </cell>
          <cell r="C19" t="str">
            <v>BUILDING ROOTS</v>
          </cell>
          <cell r="D19" t="str">
            <v>Carpenter</v>
          </cell>
        </row>
        <row r="20">
          <cell r="A20" t="str">
            <v>2527948448</v>
          </cell>
          <cell r="B20" t="str">
            <v>Abdo</v>
          </cell>
          <cell r="C20" t="str">
            <v>BUILDING ROOTS</v>
          </cell>
          <cell r="D20" t="str">
            <v>Carpenter</v>
          </cell>
        </row>
        <row r="21">
          <cell r="A21" t="str">
            <v>2546865425</v>
          </cell>
          <cell r="B21" t="str">
            <v>Abdo Ebrahim</v>
          </cell>
          <cell r="C21" t="str">
            <v>BUILDING ROOTS</v>
          </cell>
          <cell r="D21" t="str">
            <v>Carpenter</v>
          </cell>
        </row>
        <row r="22">
          <cell r="A22" t="str">
            <v>2616502536</v>
          </cell>
          <cell r="B22" t="str">
            <v>Abdo Makyoub</v>
          </cell>
          <cell r="C22" t="str">
            <v>BUILDING ROOTS</v>
          </cell>
          <cell r="D22" t="str">
            <v>Carpenter</v>
          </cell>
        </row>
        <row r="23">
          <cell r="A23" t="str">
            <v>2586919777</v>
          </cell>
          <cell r="B23" t="str">
            <v>Abdo Shawky</v>
          </cell>
          <cell r="C23" t="str">
            <v>BUILDING ROOTS</v>
          </cell>
          <cell r="D23" t="str">
            <v>Carpenter</v>
          </cell>
        </row>
        <row r="24">
          <cell r="A24" t="str">
            <v>2549001317</v>
          </cell>
          <cell r="B24" t="str">
            <v>Abdu Rehman</v>
          </cell>
          <cell r="C24" t="str">
            <v>GLOBAL CASTLES</v>
          </cell>
          <cell r="D24" t="str">
            <v>Store Keeper</v>
          </cell>
        </row>
        <row r="25">
          <cell r="A25" t="str">
            <v>2285454647</v>
          </cell>
          <cell r="B25" t="str">
            <v>Abdul</v>
          </cell>
          <cell r="C25"/>
          <cell r="D25" t="str">
            <v>Foreman</v>
          </cell>
        </row>
        <row r="26">
          <cell r="A26" t="str">
            <v>2563723770</v>
          </cell>
          <cell r="B26" t="str">
            <v>Abdul Ali</v>
          </cell>
          <cell r="C26" t="str">
            <v>SAUDI BAUER</v>
          </cell>
          <cell r="D26" t="str">
            <v>Bg Operator</v>
          </cell>
        </row>
        <row r="27">
          <cell r="A27" t="str">
            <v>2448056080</v>
          </cell>
          <cell r="B27" t="str">
            <v>Abdul Alim Ahmed</v>
          </cell>
          <cell r="C27" t="str">
            <v>BUILDING ROOTS</v>
          </cell>
          <cell r="D27" t="str">
            <v>Carpenter</v>
          </cell>
        </row>
        <row r="28">
          <cell r="A28" t="str">
            <v>2521383840</v>
          </cell>
          <cell r="B28" t="str">
            <v>Abdul Azam</v>
          </cell>
          <cell r="C28" t="str">
            <v>ALMABANI CONT.</v>
          </cell>
          <cell r="D28" t="str">
            <v>Plumber</v>
          </cell>
        </row>
        <row r="29">
          <cell r="A29" t="str">
            <v>2516549819</v>
          </cell>
          <cell r="B29" t="str">
            <v>Abdul Aziz</v>
          </cell>
          <cell r="C29" t="str">
            <v>ELITE HEART</v>
          </cell>
          <cell r="D29" t="str">
            <v>Electrician</v>
          </cell>
        </row>
        <row r="30">
          <cell r="A30" t="str">
            <v>2568375295</v>
          </cell>
          <cell r="B30" t="str">
            <v>Abdul Aziz</v>
          </cell>
          <cell r="C30" t="str">
            <v>NFT</v>
          </cell>
          <cell r="D30" t="str">
            <v>Erector</v>
          </cell>
        </row>
        <row r="31">
          <cell r="A31" t="str">
            <v>2520107885</v>
          </cell>
          <cell r="B31" t="str">
            <v>Abdul Aziz</v>
          </cell>
          <cell r="C31" t="str">
            <v>NOUR AL HADAF</v>
          </cell>
          <cell r="D31" t="str">
            <v>Tile Fixer</v>
          </cell>
        </row>
        <row r="32">
          <cell r="A32" t="str">
            <v>2624982217</v>
          </cell>
          <cell r="B32" t="str">
            <v>Abdul Aziz</v>
          </cell>
          <cell r="C32" t="str">
            <v>NFT</v>
          </cell>
          <cell r="D32" t="str">
            <v>Rigger 3</v>
          </cell>
        </row>
        <row r="33">
          <cell r="A33" t="str">
            <v>2609455957</v>
          </cell>
          <cell r="B33" t="str">
            <v>Abdul Aziz Sami</v>
          </cell>
          <cell r="C33" t="str">
            <v>BUILDING ROOTS</v>
          </cell>
          <cell r="D33" t="str">
            <v>Carpenter</v>
          </cell>
        </row>
        <row r="34">
          <cell r="A34" t="str">
            <v>2566661878</v>
          </cell>
          <cell r="B34" t="str">
            <v>Abdul Badsha</v>
          </cell>
          <cell r="C34" t="str">
            <v>SAUDI BAUER</v>
          </cell>
          <cell r="D34" t="str">
            <v>Helper</v>
          </cell>
        </row>
        <row r="35">
          <cell r="A35" t="str">
            <v>2548416599</v>
          </cell>
          <cell r="B35" t="str">
            <v>Abdul Basit</v>
          </cell>
          <cell r="C35" t="str">
            <v>BUILDING ROOTS</v>
          </cell>
          <cell r="D35" t="str">
            <v>Carpenter</v>
          </cell>
        </row>
        <row r="36">
          <cell r="A36" t="str">
            <v>2136917479</v>
          </cell>
          <cell r="B36" t="str">
            <v>Abdul Gafar</v>
          </cell>
          <cell r="C36" t="str">
            <v>ALMABANI CONT.</v>
          </cell>
          <cell r="D36" t="str">
            <v>Plumber</v>
          </cell>
        </row>
        <row r="37">
          <cell r="A37" t="str">
            <v>2611205929</v>
          </cell>
          <cell r="B37" t="str">
            <v>Abdul Hadi</v>
          </cell>
          <cell r="C37" t="str">
            <v>BUILDING ROOTS</v>
          </cell>
          <cell r="D37" t="str">
            <v>Carpenter</v>
          </cell>
        </row>
        <row r="38">
          <cell r="A38" t="str">
            <v>2584399444</v>
          </cell>
          <cell r="B38" t="str">
            <v>Abdul Hafeedh</v>
          </cell>
          <cell r="C38" t="str">
            <v>SAUDI BAUER</v>
          </cell>
          <cell r="D38" t="str">
            <v>Diesel Loader Helper</v>
          </cell>
        </row>
        <row r="39">
          <cell r="A39" t="str">
            <v>2561721115</v>
          </cell>
          <cell r="B39" t="str">
            <v>Abdul Hakeem</v>
          </cell>
          <cell r="C39" t="str">
            <v>BUILDING ROOTS</v>
          </cell>
          <cell r="D39" t="str">
            <v>Carpenter</v>
          </cell>
        </row>
        <row r="40">
          <cell r="A40" t="str">
            <v>2596684445</v>
          </cell>
          <cell r="B40" t="str">
            <v>Abdul Halim</v>
          </cell>
          <cell r="C40" t="str">
            <v>BUILDING ROOTS</v>
          </cell>
          <cell r="D40" t="str">
            <v>Steel Fixer</v>
          </cell>
        </row>
        <row r="41">
          <cell r="A41" t="str">
            <v>2337557454</v>
          </cell>
          <cell r="B41" t="str">
            <v>Abdul Hameed</v>
          </cell>
          <cell r="C41" t="str">
            <v>BUILDING ROOTS</v>
          </cell>
          <cell r="D41" t="str">
            <v>Carpenter</v>
          </cell>
        </row>
        <row r="42">
          <cell r="A42" t="str">
            <v>2250482631</v>
          </cell>
          <cell r="B42" t="str">
            <v>Abdul Hameed</v>
          </cell>
          <cell r="C42" t="str">
            <v>ALMABANI CONT.</v>
          </cell>
          <cell r="D42" t="str">
            <v>Sr Planning Manager</v>
          </cell>
        </row>
        <row r="43">
          <cell r="A43" t="str">
            <v>2586386303</v>
          </cell>
          <cell r="B43" t="str">
            <v>Abdul Hameed</v>
          </cell>
          <cell r="C43" t="str">
            <v>BUILDING ROOTS</v>
          </cell>
          <cell r="D43" t="str">
            <v>Steel Fixer Foreman</v>
          </cell>
        </row>
        <row r="44">
          <cell r="A44" t="str">
            <v>2581143357</v>
          </cell>
          <cell r="B44" t="str">
            <v>Abdul Hanif</v>
          </cell>
          <cell r="C44" t="str">
            <v>BUILDING ROOTS</v>
          </cell>
          <cell r="D44" t="str">
            <v>Steel Fixer</v>
          </cell>
        </row>
        <row r="45">
          <cell r="A45" t="str">
            <v>6157923047</v>
          </cell>
          <cell r="B45" t="str">
            <v>Abdul Hannan</v>
          </cell>
          <cell r="C45" t="str">
            <v>ELITE HEART</v>
          </cell>
          <cell r="D45" t="str">
            <v>Labour</v>
          </cell>
        </row>
        <row r="46">
          <cell r="A46" t="str">
            <v>2240614608</v>
          </cell>
          <cell r="B46" t="str">
            <v>Abdul Hasan</v>
          </cell>
          <cell r="C46" t="str">
            <v>ALMABANI CONT.</v>
          </cell>
          <cell r="D46" t="str">
            <v>Foreman</v>
          </cell>
        </row>
        <row r="47">
          <cell r="A47" t="str">
            <v>2625856857</v>
          </cell>
          <cell r="B47" t="str">
            <v>Abdul Haseeb</v>
          </cell>
          <cell r="C47" t="str">
            <v>BUILDING ROOTS</v>
          </cell>
          <cell r="D47" t="str">
            <v>Steel Fixer</v>
          </cell>
        </row>
        <row r="48">
          <cell r="A48" t="str">
            <v>2428656785</v>
          </cell>
          <cell r="B48" t="str">
            <v>Abdul Hashim</v>
          </cell>
          <cell r="C48" t="str">
            <v>GLOBAL CASTLES</v>
          </cell>
          <cell r="D48" t="str">
            <v>Lead Man</v>
          </cell>
        </row>
        <row r="49">
          <cell r="A49" t="str">
            <v>2539841474</v>
          </cell>
          <cell r="B49" t="str">
            <v>Abdul Islam</v>
          </cell>
          <cell r="C49" t="str">
            <v>NFT</v>
          </cell>
          <cell r="D49" t="str">
            <v>Tower Crane Operator</v>
          </cell>
        </row>
        <row r="50">
          <cell r="A50" t="str">
            <v>2592785394</v>
          </cell>
          <cell r="B50" t="str">
            <v>Abdul Kareem</v>
          </cell>
          <cell r="C50" t="str">
            <v>BUILDING ROOTS</v>
          </cell>
          <cell r="D50" t="str">
            <v>Dump Truck Driver</v>
          </cell>
        </row>
        <row r="51">
          <cell r="A51" t="str">
            <v>2611403557</v>
          </cell>
          <cell r="B51" t="str">
            <v>Abdul Karim</v>
          </cell>
          <cell r="C51" t="str">
            <v>BUILDING ROOTS</v>
          </cell>
          <cell r="D51" t="str">
            <v>Carpenter</v>
          </cell>
        </row>
        <row r="52">
          <cell r="A52" t="str">
            <v>2500084815</v>
          </cell>
          <cell r="B52" t="str">
            <v>Abdul Kashem</v>
          </cell>
          <cell r="C52" t="str">
            <v>BUILDING ROOTS</v>
          </cell>
          <cell r="D52" t="str">
            <v>Scaffolder</v>
          </cell>
        </row>
        <row r="53">
          <cell r="A53" t="str">
            <v>2524808249</v>
          </cell>
          <cell r="B53" t="str">
            <v>Abdul Kayyum</v>
          </cell>
          <cell r="C53" t="str">
            <v>ALMABANI CONT.</v>
          </cell>
          <cell r="D53" t="str">
            <v>Gypsum Carpenter</v>
          </cell>
        </row>
        <row r="54">
          <cell r="A54" t="str">
            <v>2519839332</v>
          </cell>
          <cell r="B54" t="str">
            <v>Abdul Kuddus</v>
          </cell>
          <cell r="C54" t="str">
            <v>GLOBAL CASTLES</v>
          </cell>
          <cell r="D54" t="str">
            <v>Electrician</v>
          </cell>
        </row>
        <row r="55">
          <cell r="A55" t="str">
            <v>2563754205</v>
          </cell>
          <cell r="B55" t="str">
            <v>Abdul Kuddus</v>
          </cell>
          <cell r="C55" t="str">
            <v>ALMABANI CONT.</v>
          </cell>
          <cell r="D55" t="str">
            <v>Labour</v>
          </cell>
        </row>
        <row r="56">
          <cell r="A56" t="str">
            <v>2550666083</v>
          </cell>
          <cell r="B56" t="str">
            <v>Abdul Latef</v>
          </cell>
          <cell r="C56" t="str">
            <v>BUILDING ROOTS</v>
          </cell>
          <cell r="D56" t="str">
            <v>Carpenter</v>
          </cell>
        </row>
        <row r="57">
          <cell r="A57" t="str">
            <v>2531280937</v>
          </cell>
          <cell r="B57" t="str">
            <v>Abdul Latif</v>
          </cell>
          <cell r="C57" t="str">
            <v>ARABIAN TOWER</v>
          </cell>
          <cell r="D57" t="str">
            <v>Electrician</v>
          </cell>
        </row>
        <row r="58">
          <cell r="A58" t="str">
            <v>2311131961</v>
          </cell>
          <cell r="B58" t="str">
            <v>Abdul Majeed</v>
          </cell>
          <cell r="C58" t="str">
            <v>ELITE HEART</v>
          </cell>
          <cell r="D58" t="str">
            <v>Labour</v>
          </cell>
        </row>
        <row r="59">
          <cell r="A59" t="str">
            <v>2482055270</v>
          </cell>
          <cell r="B59" t="str">
            <v>Abdul Majeed</v>
          </cell>
          <cell r="C59" t="str">
            <v>SAUDI BAUER</v>
          </cell>
          <cell r="D59" t="str">
            <v>Carpenter</v>
          </cell>
        </row>
        <row r="60">
          <cell r="A60" t="str">
            <v>2371639291</v>
          </cell>
          <cell r="B60" t="str">
            <v>Abdul Malek</v>
          </cell>
          <cell r="C60" t="str">
            <v>BUILDING ROOTS</v>
          </cell>
          <cell r="D60" t="str">
            <v>Carpenter</v>
          </cell>
        </row>
        <row r="61">
          <cell r="A61" t="str">
            <v>2498952114</v>
          </cell>
          <cell r="B61" t="str">
            <v>Abdul Miah</v>
          </cell>
          <cell r="C61" t="str">
            <v>ELITE HEART</v>
          </cell>
          <cell r="D61" t="str">
            <v>Operator</v>
          </cell>
        </row>
        <row r="62">
          <cell r="A62" t="str">
            <v>2286235706</v>
          </cell>
          <cell r="B62" t="str">
            <v>Abdul Mlek</v>
          </cell>
          <cell r="C62" t="str">
            <v>BUILDING ROOTS</v>
          </cell>
          <cell r="D62" t="str">
            <v>Carpenter</v>
          </cell>
        </row>
        <row r="63">
          <cell r="A63" t="str">
            <v>2539627808</v>
          </cell>
          <cell r="B63" t="str">
            <v>Abdul Naser Haleb</v>
          </cell>
          <cell r="C63" t="str">
            <v>SAUDI BAUER</v>
          </cell>
          <cell r="D63" t="str">
            <v>Diesel Truck Driver</v>
          </cell>
        </row>
        <row r="64">
          <cell r="A64" t="str">
            <v>2599954811</v>
          </cell>
          <cell r="B64" t="str">
            <v>Abdul Naveed</v>
          </cell>
          <cell r="C64" t="str">
            <v>ELITE HEART</v>
          </cell>
          <cell r="D64" t="str">
            <v>Steel Fixer</v>
          </cell>
        </row>
        <row r="65">
          <cell r="A65" t="str">
            <v>2176704282</v>
          </cell>
          <cell r="B65" t="str">
            <v>Abdul Qadir</v>
          </cell>
          <cell r="C65" t="str">
            <v>BUILDING ROOTS</v>
          </cell>
          <cell r="D65" t="str">
            <v>Foreman</v>
          </cell>
        </row>
        <row r="66">
          <cell r="A66" t="str">
            <v>2517667652</v>
          </cell>
          <cell r="B66" t="str">
            <v>Abdul Qansi</v>
          </cell>
          <cell r="C66" t="str">
            <v>BUILDING ROOTS</v>
          </cell>
          <cell r="D66" t="str">
            <v>Carpenter</v>
          </cell>
        </row>
        <row r="67">
          <cell r="A67" t="str">
            <v>2339105799</v>
          </cell>
          <cell r="B67" t="str">
            <v>Abdul Qayyum</v>
          </cell>
          <cell r="C67" t="str">
            <v>SAUDI BAUER</v>
          </cell>
          <cell r="D67" t="str">
            <v>Supervisor</v>
          </cell>
        </row>
        <row r="68">
          <cell r="A68" t="str">
            <v>2591798364</v>
          </cell>
          <cell r="B68" t="str">
            <v>Abdul Quddus</v>
          </cell>
          <cell r="C68" t="str">
            <v>GLOBAL CASTLES</v>
          </cell>
          <cell r="D68" t="str">
            <v>Labour</v>
          </cell>
        </row>
        <row r="69">
          <cell r="A69" t="str">
            <v>2312774652</v>
          </cell>
          <cell r="B69" t="str">
            <v>Abdul Rahim</v>
          </cell>
          <cell r="C69" t="str">
            <v>TAMIMI</v>
          </cell>
          <cell r="D69" t="str">
            <v>Carpenter</v>
          </cell>
        </row>
        <row r="70">
          <cell r="A70" t="str">
            <v>2572017891</v>
          </cell>
          <cell r="B70" t="str">
            <v>Abdul Rahman</v>
          </cell>
          <cell r="C70" t="str">
            <v>BUILDING ROOTS</v>
          </cell>
          <cell r="D70" t="str">
            <v>Steel Fixer</v>
          </cell>
        </row>
        <row r="71">
          <cell r="A71" t="str">
            <v>2172048916</v>
          </cell>
          <cell r="B71" t="str">
            <v>Abdul Rahman Maslamani</v>
          </cell>
          <cell r="C71" t="str">
            <v>JV (BBI-AGC)</v>
          </cell>
          <cell r="D71" t="str">
            <v>Civil Engineer</v>
          </cell>
        </row>
        <row r="72">
          <cell r="A72" t="str">
            <v>2363326709</v>
          </cell>
          <cell r="B72" t="str">
            <v>Abdul Rehman</v>
          </cell>
          <cell r="C72" t="str">
            <v>ELITE HEART</v>
          </cell>
          <cell r="D72" t="str">
            <v>Surveyor</v>
          </cell>
        </row>
        <row r="73">
          <cell r="A73" t="str">
            <v>2549174130</v>
          </cell>
          <cell r="B73" t="str">
            <v>Abdul Rehman</v>
          </cell>
          <cell r="C73" t="str">
            <v>SAUDI BAUER</v>
          </cell>
          <cell r="D73" t="str">
            <v>Mechanical Team</v>
          </cell>
        </row>
        <row r="74">
          <cell r="A74" t="str">
            <v>2609917105</v>
          </cell>
          <cell r="B74" t="str">
            <v>Abdul Rehman</v>
          </cell>
          <cell r="C74" t="str">
            <v>BUILDING ROOTS</v>
          </cell>
          <cell r="D74" t="str">
            <v>Carpenter</v>
          </cell>
        </row>
        <row r="75">
          <cell r="A75" t="str">
            <v>2536359041</v>
          </cell>
          <cell r="B75" t="str">
            <v>Abdul Rehman</v>
          </cell>
          <cell r="C75" t="str">
            <v>BUILDING ROOTS</v>
          </cell>
          <cell r="D75" t="str">
            <v>Carpenter</v>
          </cell>
        </row>
        <row r="76">
          <cell r="A76" t="str">
            <v>2601841196</v>
          </cell>
          <cell r="B76" t="str">
            <v>Abdul Rehman</v>
          </cell>
          <cell r="C76" t="str">
            <v>SAUDI BAUER</v>
          </cell>
          <cell r="D76" t="str">
            <v>Helper</v>
          </cell>
        </row>
        <row r="77">
          <cell r="A77" t="str">
            <v>2184724637</v>
          </cell>
          <cell r="B77" t="str">
            <v>Abdul Rehman</v>
          </cell>
          <cell r="C77" t="str">
            <v>ELITE HEART</v>
          </cell>
          <cell r="D77" t="str">
            <v>Foreman</v>
          </cell>
        </row>
        <row r="78">
          <cell r="A78" t="str">
            <v>2535367821</v>
          </cell>
          <cell r="B78" t="str">
            <v>Abdul Rehman</v>
          </cell>
          <cell r="C78" t="str">
            <v>ELITE HEART</v>
          </cell>
          <cell r="D78" t="str">
            <v>Scaffolder</v>
          </cell>
        </row>
        <row r="79">
          <cell r="A79" t="str">
            <v>2614239487</v>
          </cell>
          <cell r="B79" t="str">
            <v>Abdul Rehman</v>
          </cell>
          <cell r="C79" t="str">
            <v>BUILDING ROOTS</v>
          </cell>
          <cell r="D79" t="str">
            <v>Carpenter</v>
          </cell>
        </row>
        <row r="80">
          <cell r="A80" t="str">
            <v>2383152903</v>
          </cell>
          <cell r="B80" t="str">
            <v>Abdul Rehman</v>
          </cell>
          <cell r="C80" t="str">
            <v>BUILDING ROOTS</v>
          </cell>
          <cell r="D80" t="str">
            <v>Surveyor</v>
          </cell>
        </row>
        <row r="81">
          <cell r="A81" t="str">
            <v>2540473593</v>
          </cell>
          <cell r="B81" t="str">
            <v>Abdul Rehman</v>
          </cell>
          <cell r="C81" t="str">
            <v>BUILDING ROOTS</v>
          </cell>
          <cell r="D81" t="str">
            <v>Foreman</v>
          </cell>
        </row>
        <row r="82">
          <cell r="A82" t="str">
            <v>2319909921</v>
          </cell>
          <cell r="B82" t="str">
            <v>Abdul Rehman</v>
          </cell>
          <cell r="C82" t="str">
            <v>-</v>
          </cell>
          <cell r="D82" t="str">
            <v>-</v>
          </cell>
        </row>
        <row r="83">
          <cell r="A83" t="str">
            <v>2534873167</v>
          </cell>
          <cell r="B83" t="str">
            <v>Abdul Saboor</v>
          </cell>
          <cell r="C83" t="str">
            <v>BUILDING ROOTS</v>
          </cell>
          <cell r="D83" t="str">
            <v>Labour</v>
          </cell>
        </row>
        <row r="84">
          <cell r="A84" t="str">
            <v>2449506605</v>
          </cell>
          <cell r="B84" t="str">
            <v>Abdul Samad</v>
          </cell>
          <cell r="C84" t="str">
            <v>BUILDING ROOTS</v>
          </cell>
          <cell r="D84" t="str">
            <v>Carpenter</v>
          </cell>
        </row>
        <row r="85">
          <cell r="A85" t="str">
            <v>2566586828</v>
          </cell>
          <cell r="B85" t="str">
            <v>Abdul Samad</v>
          </cell>
          <cell r="C85" t="str">
            <v>ELITE HEART</v>
          </cell>
          <cell r="D85" t="str">
            <v>Carpenter</v>
          </cell>
        </row>
        <row r="86">
          <cell r="A86" t="str">
            <v>2547665773</v>
          </cell>
          <cell r="B86" t="str">
            <v>Abdul Wahdeeb</v>
          </cell>
          <cell r="C86" t="str">
            <v>ELITE HEART</v>
          </cell>
          <cell r="D86" t="str">
            <v>Steel Fixer</v>
          </cell>
        </row>
        <row r="87">
          <cell r="A87" t="str">
            <v>2522660741</v>
          </cell>
          <cell r="B87" t="str">
            <v>Abdul Waheed</v>
          </cell>
          <cell r="C87" t="str">
            <v>ALMABANI CONT.</v>
          </cell>
          <cell r="D87" t="str">
            <v>Carpenter</v>
          </cell>
        </row>
        <row r="88">
          <cell r="A88" t="str">
            <v>2611149622</v>
          </cell>
          <cell r="B88" t="str">
            <v>Abdul Wahid</v>
          </cell>
          <cell r="C88" t="str">
            <v>BUILDING ROOTS</v>
          </cell>
          <cell r="D88" t="str">
            <v>Carpenter</v>
          </cell>
        </row>
        <row r="89">
          <cell r="A89" t="str">
            <v>2603539053</v>
          </cell>
          <cell r="B89" t="str">
            <v>Abdul Wali</v>
          </cell>
          <cell r="C89" t="str">
            <v>ELITE HEART</v>
          </cell>
          <cell r="D89" t="str">
            <v>Labour</v>
          </cell>
        </row>
        <row r="90">
          <cell r="A90" t="str">
            <v>2566802373</v>
          </cell>
          <cell r="B90" t="str">
            <v>Abdul azeez</v>
          </cell>
          <cell r="C90" t="str">
            <v>JV (BBI-AGC)</v>
          </cell>
          <cell r="D90" t="str">
            <v>Contract admin</v>
          </cell>
        </row>
        <row r="91">
          <cell r="A91" t="str">
            <v>2560588408</v>
          </cell>
          <cell r="B91" t="str">
            <v>Abdul basit</v>
          </cell>
          <cell r="C91" t="str">
            <v>GLOBAL CASTLE</v>
          </cell>
          <cell r="D91" t="str">
            <v>Foreman</v>
          </cell>
        </row>
        <row r="92">
          <cell r="A92" t="str">
            <v>2629982568</v>
          </cell>
          <cell r="B92" t="str">
            <v>Abdul haque</v>
          </cell>
          <cell r="C92" t="str">
            <v>GLOBAL CASTLE</v>
          </cell>
          <cell r="D92" t="str">
            <v>Steel Fixer</v>
          </cell>
        </row>
        <row r="93">
          <cell r="A93" t="str">
            <v>2528963776</v>
          </cell>
          <cell r="B93" t="str">
            <v>Abdul latif</v>
          </cell>
          <cell r="C93" t="str">
            <v>BUILDING ROOTS</v>
          </cell>
          <cell r="D93" t="str">
            <v>Driver</v>
          </cell>
        </row>
        <row r="94">
          <cell r="A94" t="str">
            <v>2464682695</v>
          </cell>
          <cell r="B94" t="str">
            <v>Abdul qayyam</v>
          </cell>
          <cell r="C94" t="str">
            <v>BUILDING ROOTS</v>
          </cell>
          <cell r="D94" t="str">
            <v>Labor</v>
          </cell>
        </row>
        <row r="95">
          <cell r="A95" t="str">
            <v>2571688750</v>
          </cell>
          <cell r="B95" t="str">
            <v>Abdul rahim</v>
          </cell>
          <cell r="C95" t="str">
            <v>BUILDING ROOTS</v>
          </cell>
          <cell r="D95" t="str">
            <v>Steel Fixer</v>
          </cell>
        </row>
        <row r="96">
          <cell r="A96" t="str">
            <v>2540392749</v>
          </cell>
          <cell r="B96" t="str">
            <v>Abdul rahman</v>
          </cell>
          <cell r="C96" t="str">
            <v>BUILDING ROOTS</v>
          </cell>
          <cell r="D96" t="str">
            <v>Carpenter</v>
          </cell>
        </row>
        <row r="97">
          <cell r="A97" t="str">
            <v>2456406145</v>
          </cell>
          <cell r="B97" t="str">
            <v>Abdul razzaq khan</v>
          </cell>
          <cell r="C97" t="str">
            <v>BUILDING ROOTS</v>
          </cell>
          <cell r="D97" t="str">
            <v>llabor</v>
          </cell>
        </row>
        <row r="98">
          <cell r="A98" t="str">
            <v>2575239195</v>
          </cell>
          <cell r="B98" t="str">
            <v>Abdul rehman</v>
          </cell>
          <cell r="C98" t="str">
            <v>BUILDING ROOTS</v>
          </cell>
          <cell r="D98" t="str">
            <v>QS</v>
          </cell>
        </row>
        <row r="99">
          <cell r="A99" t="str">
            <v>2594891315</v>
          </cell>
          <cell r="B99" t="str">
            <v>Abdul saboor</v>
          </cell>
          <cell r="C99" t="str">
            <v>UNITED GULF</v>
          </cell>
          <cell r="D99" t="str">
            <v>PD</v>
          </cell>
        </row>
        <row r="100">
          <cell r="A100" t="str">
            <v>2528454843</v>
          </cell>
          <cell r="B100" t="str">
            <v>Abdul salam</v>
          </cell>
          <cell r="C100" t="str">
            <v>BUILDING ROOTS</v>
          </cell>
          <cell r="D100" t="str">
            <v>Carpenter</v>
          </cell>
        </row>
        <row r="101">
          <cell r="A101" t="str">
            <v>2603317120</v>
          </cell>
          <cell r="B101" t="str">
            <v>Abdul wahab</v>
          </cell>
          <cell r="C101" t="str">
            <v>AALICO</v>
          </cell>
          <cell r="D101" t="str">
            <v>labor</v>
          </cell>
        </row>
        <row r="102">
          <cell r="A102" t="str">
            <v>2610388429</v>
          </cell>
          <cell r="B102" t="str">
            <v>Abdula Ahmed</v>
          </cell>
          <cell r="C102" t="str">
            <v>ELITE HEART</v>
          </cell>
          <cell r="D102" t="str">
            <v>Driver</v>
          </cell>
        </row>
        <row r="103">
          <cell r="A103" t="str">
            <v>2528994961</v>
          </cell>
          <cell r="B103" t="str">
            <v>Abdulah Rabi</v>
          </cell>
          <cell r="C103" t="str">
            <v>BUILDING ROOTS</v>
          </cell>
          <cell r="D103" t="str">
            <v>Scaffolder</v>
          </cell>
        </row>
        <row r="104">
          <cell r="A104" t="str">
            <v>11247397449</v>
          </cell>
          <cell r="B104" t="str">
            <v>Abdulaziz</v>
          </cell>
          <cell r="C104" t="str">
            <v>BOUYGUES CONST.</v>
          </cell>
          <cell r="D104" t="str">
            <v>-</v>
          </cell>
        </row>
        <row r="105">
          <cell r="A105" t="str">
            <v>1111821441</v>
          </cell>
          <cell r="B105" t="str">
            <v>Abdulaziz</v>
          </cell>
          <cell r="C105" t="str">
            <v>BOUYGUES CONST.</v>
          </cell>
          <cell r="D105" t="str">
            <v>Supervisor</v>
          </cell>
        </row>
        <row r="106">
          <cell r="A106" t="str">
            <v>1098109844</v>
          </cell>
          <cell r="B106" t="str">
            <v>Abdulaziz Al-Saeed</v>
          </cell>
          <cell r="C106" t="str">
            <v>ALMABANI CONT.</v>
          </cell>
          <cell r="D106" t="str">
            <v>Mechanical Engineer</v>
          </cell>
        </row>
        <row r="107">
          <cell r="A107" t="str">
            <v>2151497498</v>
          </cell>
          <cell r="B107" t="str">
            <v>Abdulaziz saad</v>
          </cell>
          <cell r="C107" t="str">
            <v>ULMA - SMC</v>
          </cell>
          <cell r="D107" t="str">
            <v>foreman</v>
          </cell>
        </row>
        <row r="108">
          <cell r="A108" t="str">
            <v>1089438442</v>
          </cell>
          <cell r="B108" t="str">
            <v>Abdulhadi Alnemer</v>
          </cell>
          <cell r="C108" t="str">
            <v>JV (BBI-AGC)</v>
          </cell>
          <cell r="D108" t="str">
            <v>-</v>
          </cell>
        </row>
        <row r="109">
          <cell r="A109" t="str">
            <v>2584609453</v>
          </cell>
          <cell r="B109" t="str">
            <v>Abdulkhaleq Ali</v>
          </cell>
          <cell r="C109" t="str">
            <v>BUILDING ROOTS</v>
          </cell>
          <cell r="D109" t="str">
            <v>Carpenter</v>
          </cell>
        </row>
        <row r="110">
          <cell r="A110" t="str">
            <v>2579779527</v>
          </cell>
          <cell r="B110" t="str">
            <v>Abdulla hamir</v>
          </cell>
          <cell r="C110" t="str">
            <v>BUILDING ROOTS</v>
          </cell>
          <cell r="D110" t="str">
            <v>Bobcat operator</v>
          </cell>
        </row>
        <row r="111">
          <cell r="A111" t="str">
            <v>2666083265</v>
          </cell>
          <cell r="B111" t="str">
            <v>Abdullah</v>
          </cell>
          <cell r="C111" t="str">
            <v>BUILDING ROOTS</v>
          </cell>
          <cell r="D111" t="str">
            <v>Carpenter</v>
          </cell>
        </row>
        <row r="112">
          <cell r="A112" t="str">
            <v>2621646280</v>
          </cell>
          <cell r="B112" t="str">
            <v>Abdullah</v>
          </cell>
          <cell r="C112" t="str">
            <v>BUILDING ROOTS</v>
          </cell>
          <cell r="D112" t="str">
            <v>Carpenter</v>
          </cell>
        </row>
        <row r="113">
          <cell r="A113" t="str">
            <v>2614243505</v>
          </cell>
          <cell r="B113" t="str">
            <v>Abdullah</v>
          </cell>
          <cell r="C113" t="str">
            <v>BUILDING ROOTS</v>
          </cell>
          <cell r="D113" t="str">
            <v>Labour</v>
          </cell>
        </row>
        <row r="114">
          <cell r="A114" t="str">
            <v>2592245464</v>
          </cell>
          <cell r="B114" t="str">
            <v>Abdullah</v>
          </cell>
          <cell r="C114" t="str">
            <v>ELITE HEART</v>
          </cell>
          <cell r="D114" t="str">
            <v>Labour</v>
          </cell>
        </row>
        <row r="115">
          <cell r="A115" t="str">
            <v>2603207933</v>
          </cell>
          <cell r="B115" t="str">
            <v>Abdullah</v>
          </cell>
          <cell r="C115" t="str">
            <v>ELITE HEART</v>
          </cell>
          <cell r="D115" t="str">
            <v>Labour</v>
          </cell>
        </row>
        <row r="116">
          <cell r="A116" t="str">
            <v>2520394375</v>
          </cell>
          <cell r="B116" t="str">
            <v>Abdullah</v>
          </cell>
          <cell r="C116" t="str">
            <v>BUILDING ROOTS</v>
          </cell>
          <cell r="D116" t="str">
            <v>Labour</v>
          </cell>
        </row>
        <row r="117">
          <cell r="A117" t="str">
            <v>2576793241</v>
          </cell>
          <cell r="B117" t="str">
            <v>Abdullah</v>
          </cell>
          <cell r="C117" t="str">
            <v>BUILDING ROOTS</v>
          </cell>
          <cell r="D117" t="str">
            <v>Carpenter</v>
          </cell>
        </row>
        <row r="118">
          <cell r="A118" t="str">
            <v>2606728240</v>
          </cell>
          <cell r="B118" t="str">
            <v>Abdullah</v>
          </cell>
          <cell r="C118" t="str">
            <v>BUILDING ROOTS</v>
          </cell>
          <cell r="D118" t="str">
            <v>Driver</v>
          </cell>
        </row>
        <row r="119">
          <cell r="A119" t="str">
            <v>2588612073</v>
          </cell>
          <cell r="B119" t="str">
            <v>Abdullah</v>
          </cell>
          <cell r="C119" t="str">
            <v>GLOBAL CASTLES</v>
          </cell>
          <cell r="D119" t="str">
            <v>Helper</v>
          </cell>
        </row>
        <row r="120">
          <cell r="A120" t="str">
            <v>2579578077</v>
          </cell>
          <cell r="B120" t="str">
            <v>Abdullah</v>
          </cell>
          <cell r="C120" t="str">
            <v>BUILDING ROOTS</v>
          </cell>
          <cell r="D120" t="str">
            <v>Carpenter</v>
          </cell>
        </row>
        <row r="121">
          <cell r="A121" t="str">
            <v>2508451925</v>
          </cell>
          <cell r="B121" t="str">
            <v>Abdullah</v>
          </cell>
          <cell r="C121" t="str">
            <v>BUILDING ROOTS</v>
          </cell>
          <cell r="D121" t="str">
            <v>Carpenter</v>
          </cell>
        </row>
        <row r="122">
          <cell r="A122" t="str">
            <v>2613397740</v>
          </cell>
          <cell r="B122" t="str">
            <v>Abdullah Abdulmajed</v>
          </cell>
          <cell r="C122" t="str">
            <v>BUILDING ROOTS</v>
          </cell>
          <cell r="D122" t="str">
            <v>Carpenter</v>
          </cell>
        </row>
        <row r="123">
          <cell r="A123" t="str">
            <v>2607161755</v>
          </cell>
          <cell r="B123" t="str">
            <v>Abdullah Abdulrehman</v>
          </cell>
          <cell r="C123" t="str">
            <v>BUILDING ROOTS</v>
          </cell>
          <cell r="D123" t="str">
            <v>Carpenter</v>
          </cell>
        </row>
        <row r="124">
          <cell r="A124" t="str">
            <v>2594697373</v>
          </cell>
          <cell r="B124" t="str">
            <v>Abdullah Abdulsalam</v>
          </cell>
          <cell r="C124" t="str">
            <v>BUILDING ROOTS</v>
          </cell>
          <cell r="D124" t="str">
            <v>Carpenter</v>
          </cell>
        </row>
        <row r="125">
          <cell r="A125" t="str">
            <v>1120499379</v>
          </cell>
          <cell r="B125" t="str">
            <v>Abdullah Akram</v>
          </cell>
          <cell r="C125" t="str">
            <v>SAUDI BAUER</v>
          </cell>
          <cell r="D125" t="str">
            <v>Qc Engineer</v>
          </cell>
        </row>
        <row r="126">
          <cell r="A126" t="str">
            <v>1100733169</v>
          </cell>
          <cell r="B126" t="str">
            <v>Abdullah Alqahtani</v>
          </cell>
          <cell r="C126" t="str">
            <v>AL JOHARAH</v>
          </cell>
          <cell r="D126" t="str">
            <v>Security Officer</v>
          </cell>
        </row>
        <row r="127">
          <cell r="A127" t="str">
            <v>2603649837</v>
          </cell>
          <cell r="B127" t="str">
            <v>Abdullah Amas</v>
          </cell>
          <cell r="C127" t="str">
            <v>BUILDING ROOTS</v>
          </cell>
          <cell r="D127" t="str">
            <v>Labour</v>
          </cell>
        </row>
        <row r="128">
          <cell r="A128" t="str">
            <v>2535941054</v>
          </cell>
          <cell r="B128" t="str">
            <v>Abdullah Basem</v>
          </cell>
          <cell r="C128" t="str">
            <v>BUILDING ROOTS</v>
          </cell>
          <cell r="D128" t="str">
            <v>Driver</v>
          </cell>
        </row>
        <row r="129">
          <cell r="A129" t="str">
            <v>2609336504</v>
          </cell>
          <cell r="B129" t="str">
            <v>Abdullah Faqir</v>
          </cell>
          <cell r="C129" t="str">
            <v>BUILDING ROOTS</v>
          </cell>
          <cell r="D129" t="str">
            <v>Labour</v>
          </cell>
        </row>
        <row r="130">
          <cell r="A130" t="str">
            <v>2573616881</v>
          </cell>
          <cell r="B130" t="str">
            <v>Abdullah Ibrahim</v>
          </cell>
          <cell r="C130" t="str">
            <v>BUILDING ROOTS</v>
          </cell>
          <cell r="D130" t="str">
            <v>Carpenter</v>
          </cell>
        </row>
        <row r="131">
          <cell r="A131" t="str">
            <v>2605177712</v>
          </cell>
          <cell r="B131" t="str">
            <v>Abdullah Mir</v>
          </cell>
          <cell r="C131" t="str">
            <v>ELITE HEART</v>
          </cell>
          <cell r="D131" t="str">
            <v>Labour</v>
          </cell>
        </row>
        <row r="132">
          <cell r="A132" t="str">
            <v>2597234851</v>
          </cell>
          <cell r="B132" t="str">
            <v>Abdullah Mohammed</v>
          </cell>
          <cell r="C132" t="str">
            <v>BUILDING ROOTS</v>
          </cell>
          <cell r="D132" t="str">
            <v>Carpenter</v>
          </cell>
        </row>
        <row r="133">
          <cell r="A133" t="str">
            <v>2537798156</v>
          </cell>
          <cell r="B133" t="str">
            <v>Abdullah Mohammed</v>
          </cell>
          <cell r="C133" t="str">
            <v>BUILDING ROOTS</v>
          </cell>
          <cell r="D133" t="str">
            <v>Carpenter</v>
          </cell>
        </row>
        <row r="134">
          <cell r="A134" t="str">
            <v>2581135932</v>
          </cell>
          <cell r="B134" t="str">
            <v>Abdullah Nisar</v>
          </cell>
          <cell r="C134" t="str">
            <v>BUILDING ROOTS</v>
          </cell>
          <cell r="D134" t="str">
            <v>Scaffolder</v>
          </cell>
        </row>
        <row r="135">
          <cell r="A135" t="str">
            <v>1087776876</v>
          </cell>
          <cell r="B135" t="str">
            <v>Abdullah Saad</v>
          </cell>
          <cell r="C135" t="str">
            <v>JV (BBI-AGC)</v>
          </cell>
          <cell r="D135" t="str">
            <v>Hse</v>
          </cell>
        </row>
        <row r="136">
          <cell r="A136" t="str">
            <v>2541617647</v>
          </cell>
          <cell r="B136" t="str">
            <v>Abdullah Sheikh</v>
          </cell>
          <cell r="C136" t="str">
            <v>BUILDING ROOTS</v>
          </cell>
          <cell r="D136" t="str">
            <v>Dump Truck Operator</v>
          </cell>
        </row>
        <row r="137">
          <cell r="A137" t="str">
            <v>2537021814</v>
          </cell>
          <cell r="B137" t="str">
            <v>Abdullah algafri</v>
          </cell>
          <cell r="C137" t="str">
            <v>ELITE HEART</v>
          </cell>
          <cell r="D137" t="str">
            <v>boom truck operator</v>
          </cell>
        </row>
        <row r="138">
          <cell r="A138" t="str">
            <v>2314671179</v>
          </cell>
          <cell r="B138" t="str">
            <v>Abdullah khaled</v>
          </cell>
          <cell r="C138" t="str">
            <v>BUILDING ROOTS</v>
          </cell>
          <cell r="D138" t="str">
            <v>Carpenter</v>
          </cell>
        </row>
        <row r="139">
          <cell r="A139" t="str">
            <v>2622967210</v>
          </cell>
          <cell r="B139" t="str">
            <v>Abdullah khan</v>
          </cell>
          <cell r="C139" t="str">
            <v>ELITE HEART</v>
          </cell>
          <cell r="D139" t="str">
            <v>Labor</v>
          </cell>
        </row>
        <row r="140">
          <cell r="A140" t="str">
            <v>2586253468</v>
          </cell>
          <cell r="B140" t="str">
            <v>Abdullah mahyoub</v>
          </cell>
          <cell r="C140" t="str">
            <v>BUILDING ROOTS</v>
          </cell>
          <cell r="D140" t="str">
            <v>Carpenter</v>
          </cell>
        </row>
        <row r="141">
          <cell r="A141" t="str">
            <v>256155324</v>
          </cell>
          <cell r="B141" t="str">
            <v>Abdullah nadhan</v>
          </cell>
          <cell r="C141" t="str">
            <v>BUILDING ROOTS</v>
          </cell>
          <cell r="D141" t="str">
            <v>Carpenter</v>
          </cell>
        </row>
        <row r="142">
          <cell r="A142" t="str">
            <v>2452014232</v>
          </cell>
          <cell r="B142" t="str">
            <v>Abdullah wahab</v>
          </cell>
          <cell r="C142" t="str">
            <v>BUILDING ROOTS</v>
          </cell>
          <cell r="D142" t="str">
            <v>labor</v>
          </cell>
        </row>
        <row r="143">
          <cell r="A143" t="str">
            <v>2603714201</v>
          </cell>
          <cell r="B143" t="str">
            <v>Abdulmalek Abdo Ahmed</v>
          </cell>
          <cell r="C143" t="str">
            <v>BUILDING ROOTS</v>
          </cell>
          <cell r="D143" t="str">
            <v>Carpenter</v>
          </cell>
        </row>
        <row r="144">
          <cell r="A144" t="str">
            <v>2597235791</v>
          </cell>
          <cell r="B144" t="str">
            <v>Abdulmatr</v>
          </cell>
          <cell r="C144" t="str">
            <v>BUILDING ROOTS</v>
          </cell>
          <cell r="D144" t="str">
            <v>Carpenter</v>
          </cell>
        </row>
        <row r="145">
          <cell r="A145" t="str">
            <v>2619751072</v>
          </cell>
          <cell r="B145" t="str">
            <v>Abdulnaser Abdullah</v>
          </cell>
          <cell r="C145" t="str">
            <v>BUILDING ROOTS</v>
          </cell>
          <cell r="D145" t="str">
            <v>Carpenter</v>
          </cell>
        </row>
        <row r="146">
          <cell r="A146" t="str">
            <v>1119614152</v>
          </cell>
          <cell r="B146" t="str">
            <v>Abdulrahman Alfaify</v>
          </cell>
          <cell r="C146" t="str">
            <v>BOUYGUES CONST.</v>
          </cell>
          <cell r="D146" t="str">
            <v>Civil Engineer</v>
          </cell>
        </row>
        <row r="147">
          <cell r="A147" t="str">
            <v>2112032178</v>
          </cell>
          <cell r="B147" t="str">
            <v>Abdulrahman Almahjoos</v>
          </cell>
          <cell r="C147" t="str">
            <v>ZAMIL STEEL</v>
          </cell>
          <cell r="D147" t="str">
            <v>Construction Manager</v>
          </cell>
        </row>
        <row r="148">
          <cell r="A148" t="str">
            <v>2441061636</v>
          </cell>
          <cell r="B148" t="str">
            <v>Abdulwahab Alkhayat</v>
          </cell>
          <cell r="C148" t="str">
            <v>QIDDIYA</v>
          </cell>
          <cell r="D148" t="str">
            <v>Landscape Manager</v>
          </cell>
        </row>
        <row r="149">
          <cell r="A149" t="str">
            <v>2563973557</v>
          </cell>
          <cell r="B149" t="str">
            <v>Abdur Rashed</v>
          </cell>
          <cell r="C149" t="str">
            <v>ELITE HEART</v>
          </cell>
          <cell r="D149" t="str">
            <v>Mason</v>
          </cell>
        </row>
        <row r="150">
          <cell r="A150" t="str">
            <v>2559278482</v>
          </cell>
          <cell r="B150" t="str">
            <v>Abdur Rehman</v>
          </cell>
          <cell r="C150" t="str">
            <v>BUILDING ROOTS</v>
          </cell>
          <cell r="D150" t="str">
            <v>Carpenter</v>
          </cell>
        </row>
        <row r="151">
          <cell r="A151" t="str">
            <v>2634572511</v>
          </cell>
          <cell r="B151" t="str">
            <v>Abdur rehman</v>
          </cell>
          <cell r="C151" t="str">
            <v>BUILDING ROOTS</v>
          </cell>
          <cell r="D151" t="str">
            <v>Surveyor helper</v>
          </cell>
        </row>
        <row r="152">
          <cell r="A152" t="str">
            <v>2498945878</v>
          </cell>
          <cell r="B152" t="str">
            <v>Abdurabo Ahmed</v>
          </cell>
          <cell r="C152" t="str">
            <v>BUILDING ROOTS</v>
          </cell>
          <cell r="D152" t="str">
            <v>Carpenter</v>
          </cell>
        </row>
        <row r="153">
          <cell r="A153" t="str">
            <v>2560410363</v>
          </cell>
          <cell r="B153" t="str">
            <v>Abdus Salam</v>
          </cell>
          <cell r="C153" t="str">
            <v>BUILDING ROOTS</v>
          </cell>
          <cell r="D153" t="str">
            <v>Carpenter</v>
          </cell>
        </row>
        <row r="154">
          <cell r="A154" t="str">
            <v>2601231274</v>
          </cell>
          <cell r="B154" t="str">
            <v>Abid</v>
          </cell>
          <cell r="C154" t="str">
            <v>BUILDING ROOTS</v>
          </cell>
          <cell r="D154" t="str">
            <v>Scaffolder</v>
          </cell>
        </row>
        <row r="155">
          <cell r="A155" t="str">
            <v>2623830490</v>
          </cell>
          <cell r="B155" t="str">
            <v>Abid</v>
          </cell>
          <cell r="C155" t="str">
            <v>GLOBAL CASTLE</v>
          </cell>
          <cell r="D155" t="str">
            <v>Carpenter</v>
          </cell>
        </row>
        <row r="156">
          <cell r="A156" t="str">
            <v>2478031918</v>
          </cell>
          <cell r="B156" t="str">
            <v>Abid Hussain</v>
          </cell>
          <cell r="C156" t="str">
            <v>BUILDING ROOTS</v>
          </cell>
          <cell r="D156" t="str">
            <v>Electrician</v>
          </cell>
        </row>
        <row r="157">
          <cell r="A157" t="str">
            <v>2299875159</v>
          </cell>
          <cell r="B157" t="str">
            <v>Abid Hussain</v>
          </cell>
          <cell r="C157" t="str">
            <v>BUILDING ROOTS</v>
          </cell>
          <cell r="D157" t="str">
            <v>Chief Surveyor</v>
          </cell>
        </row>
        <row r="158">
          <cell r="A158" t="str">
            <v>2624497828</v>
          </cell>
          <cell r="B158" t="str">
            <v>Abid Raza</v>
          </cell>
          <cell r="C158" t="str">
            <v>BUILDING ROOTS</v>
          </cell>
          <cell r="D158" t="str">
            <v>Carpenter</v>
          </cell>
        </row>
        <row r="159">
          <cell r="A159" t="str">
            <v>2523488423</v>
          </cell>
          <cell r="B159" t="str">
            <v>Abid Sharif</v>
          </cell>
          <cell r="C159" t="str">
            <v>ALMABANI CONT.</v>
          </cell>
          <cell r="D159" t="str">
            <v>Electrician</v>
          </cell>
        </row>
        <row r="160">
          <cell r="A160" t="str">
            <v>2605915590</v>
          </cell>
          <cell r="B160" t="str">
            <v>Abid Ullah</v>
          </cell>
          <cell r="C160" t="str">
            <v>SAUDI BAUER</v>
          </cell>
          <cell r="D160" t="str">
            <v>Helper</v>
          </cell>
        </row>
        <row r="161">
          <cell r="A161" t="str">
            <v>2553715216</v>
          </cell>
          <cell r="B161" t="str">
            <v>Abid hussain</v>
          </cell>
          <cell r="C161" t="str">
            <v>BUILDING ROOTS</v>
          </cell>
          <cell r="D161" t="str">
            <v>Steel Fixer</v>
          </cell>
        </row>
        <row r="162">
          <cell r="A162" t="str">
            <v>2588532990</v>
          </cell>
          <cell r="B162" t="str">
            <v>Abid khan</v>
          </cell>
          <cell r="C162" t="str">
            <v>ELITE HEART</v>
          </cell>
          <cell r="D162" t="str">
            <v>scaffolder</v>
          </cell>
        </row>
        <row r="163">
          <cell r="A163" t="str">
            <v>2565319213</v>
          </cell>
          <cell r="B163" t="str">
            <v>Abinash babu</v>
          </cell>
          <cell r="C163" t="str">
            <v>JASARA</v>
          </cell>
          <cell r="D163" t="str">
            <v>HSE Manager</v>
          </cell>
        </row>
        <row r="164">
          <cell r="A164" t="str">
            <v>2509106850</v>
          </cell>
          <cell r="B164" t="str">
            <v>Abir Chazd</v>
          </cell>
          <cell r="C164" t="str">
            <v>BUILDING ROOTS</v>
          </cell>
          <cell r="D164" t="str">
            <v>Scaffolder</v>
          </cell>
        </row>
        <row r="165">
          <cell r="A165" t="str">
            <v>2615265028</v>
          </cell>
          <cell r="B165" t="str">
            <v>Abrar</v>
          </cell>
          <cell r="C165" t="str">
            <v>BUILDING ROOTS</v>
          </cell>
          <cell r="D165" t="str">
            <v>Steel Fixer</v>
          </cell>
        </row>
        <row r="166">
          <cell r="A166" t="str">
            <v>2583539644</v>
          </cell>
          <cell r="B166" t="str">
            <v>Abrar Ali</v>
          </cell>
          <cell r="C166" t="str">
            <v>BUILDING ROOTS</v>
          </cell>
          <cell r="D166" t="str">
            <v>Steel Fixer</v>
          </cell>
        </row>
        <row r="167">
          <cell r="A167" t="str">
            <v>2587355518</v>
          </cell>
          <cell r="B167" t="str">
            <v>Abu Bakkor Miah</v>
          </cell>
          <cell r="C167" t="str">
            <v>BUILDING ROOTS</v>
          </cell>
          <cell r="D167" t="str">
            <v>Scaffolder</v>
          </cell>
        </row>
        <row r="168">
          <cell r="A168" t="str">
            <v>2445692375</v>
          </cell>
          <cell r="B168" t="str">
            <v>Abu Galam</v>
          </cell>
          <cell r="C168" t="str">
            <v>ELITE HEART</v>
          </cell>
          <cell r="D168" t="str">
            <v>Labour</v>
          </cell>
        </row>
        <row r="169">
          <cell r="A169" t="str">
            <v>2618387365</v>
          </cell>
          <cell r="B169" t="str">
            <v>Abu Harara</v>
          </cell>
          <cell r="C169" t="str">
            <v>BUILDING ROOTS</v>
          </cell>
          <cell r="D169" t="str">
            <v>Steel Fixer</v>
          </cell>
        </row>
        <row r="170">
          <cell r="A170" t="str">
            <v>2486602275</v>
          </cell>
          <cell r="B170" t="str">
            <v>Abu Kalam</v>
          </cell>
          <cell r="C170" t="str">
            <v>BUILDING ROOTS</v>
          </cell>
          <cell r="D170" t="str">
            <v>Scaffolder</v>
          </cell>
        </row>
        <row r="171">
          <cell r="A171" t="str">
            <v>2574581258</v>
          </cell>
          <cell r="B171" t="str">
            <v>Abu Saad</v>
          </cell>
          <cell r="C171" t="str">
            <v>ELITE HEART</v>
          </cell>
          <cell r="D171" t="str">
            <v>Steel Fixer</v>
          </cell>
        </row>
        <row r="172">
          <cell r="A172" t="str">
            <v>2605885611</v>
          </cell>
          <cell r="B172" t="str">
            <v>Abu Salem</v>
          </cell>
          <cell r="C172" t="str">
            <v>BUILDING ROOTS</v>
          </cell>
          <cell r="D172" t="str">
            <v>Scaffolder</v>
          </cell>
        </row>
        <row r="173">
          <cell r="A173" t="str">
            <v>2529210177</v>
          </cell>
          <cell r="B173" t="str">
            <v>Abubakar Hassan</v>
          </cell>
          <cell r="C173" t="str">
            <v>SAUDI BAUER</v>
          </cell>
          <cell r="D173" t="str">
            <v>Rigger</v>
          </cell>
        </row>
        <row r="174">
          <cell r="A174" t="str">
            <v>2578398741</v>
          </cell>
          <cell r="B174" t="str">
            <v>Abubaker</v>
          </cell>
          <cell r="C174" t="str">
            <v>TECHNOPOWER</v>
          </cell>
          <cell r="D174" t="str">
            <v>Engineer</v>
          </cell>
        </row>
        <row r="175">
          <cell r="A175" t="str">
            <v>2589372883</v>
          </cell>
          <cell r="B175" t="str">
            <v>Abul Basar</v>
          </cell>
          <cell r="C175" t="str">
            <v>BUILDING ROOTS</v>
          </cell>
          <cell r="D175" t="str">
            <v>Scaffolder</v>
          </cell>
        </row>
        <row r="176">
          <cell r="A176" t="str">
            <v>2564052476</v>
          </cell>
          <cell r="B176" t="str">
            <v>Abul Bashar</v>
          </cell>
          <cell r="C176" t="str">
            <v>GLOBAL CASTLES</v>
          </cell>
          <cell r="D176" t="str">
            <v>Leadman</v>
          </cell>
        </row>
        <row r="177">
          <cell r="A177" t="str">
            <v>1113148637</v>
          </cell>
          <cell r="B177" t="str">
            <v>Abulaziz Yahya Alfaifi</v>
          </cell>
          <cell r="C177" t="str">
            <v>BOUYGUES CONST.</v>
          </cell>
          <cell r="D177" t="str">
            <v>Accountant</v>
          </cell>
        </row>
        <row r="178">
          <cell r="A178" t="str">
            <v>2548319967</v>
          </cell>
          <cell r="B178" t="str">
            <v>Abyan Boban</v>
          </cell>
          <cell r="C178" t="str">
            <v>SAUDI BAUER</v>
          </cell>
          <cell r="D178" t="str">
            <v>Loader Operator</v>
          </cell>
        </row>
        <row r="179">
          <cell r="A179" t="str">
            <v>2264093408</v>
          </cell>
          <cell r="B179" t="str">
            <v>Adam abdullah</v>
          </cell>
          <cell r="C179" t="str">
            <v>BUILDING ROOTS</v>
          </cell>
          <cell r="D179" t="str">
            <v>Carpenter</v>
          </cell>
        </row>
        <row r="180">
          <cell r="A180" t="str">
            <v>2569017888</v>
          </cell>
          <cell r="B180" t="str">
            <v>Adeb Abdo</v>
          </cell>
          <cell r="C180" t="str">
            <v>BUILDING ROOTS</v>
          </cell>
          <cell r="D180" t="str">
            <v>Carpenter</v>
          </cell>
        </row>
        <row r="181">
          <cell r="A181" t="str">
            <v>2517175291</v>
          </cell>
          <cell r="B181" t="str">
            <v>Adeb Ameen</v>
          </cell>
          <cell r="C181" t="str">
            <v>BUILDING ROOTS</v>
          </cell>
          <cell r="D181" t="str">
            <v>Carpenter</v>
          </cell>
        </row>
        <row r="182">
          <cell r="A182" t="str">
            <v>2447867413</v>
          </cell>
          <cell r="B182" t="str">
            <v>Adeeb ali</v>
          </cell>
          <cell r="C182" t="str">
            <v>BUILDING ROOTS</v>
          </cell>
          <cell r="D182" t="str">
            <v>Carpenter</v>
          </cell>
        </row>
        <row r="183">
          <cell r="A183" t="str">
            <v>2554777454</v>
          </cell>
          <cell r="B183" t="str">
            <v>Adeel Ahmed</v>
          </cell>
          <cell r="C183" t="str">
            <v>BUILDING ROOTS</v>
          </cell>
          <cell r="D183" t="str">
            <v>Steel Fixer</v>
          </cell>
        </row>
        <row r="184">
          <cell r="A184" t="str">
            <v>2593367512</v>
          </cell>
          <cell r="B184" t="str">
            <v>Adeel Iqbal</v>
          </cell>
          <cell r="C184" t="str">
            <v>ELITE HEART</v>
          </cell>
          <cell r="D184" t="str">
            <v>Surveyor Helper</v>
          </cell>
        </row>
        <row r="185">
          <cell r="A185" t="str">
            <v>2482223606</v>
          </cell>
          <cell r="B185" t="str">
            <v>Adeel Usman</v>
          </cell>
          <cell r="C185" t="str">
            <v>BUILDING ROOTS</v>
          </cell>
          <cell r="D185" t="str">
            <v>Steel Fixer</v>
          </cell>
        </row>
        <row r="186">
          <cell r="A186" t="str">
            <v>2326570310</v>
          </cell>
          <cell r="B186" t="str">
            <v>Adel salah</v>
          </cell>
          <cell r="C186" t="str">
            <v>BUILDING ROOTS</v>
          </cell>
          <cell r="D186" t="str">
            <v>labor</v>
          </cell>
        </row>
        <row r="187">
          <cell r="A187" t="str">
            <v>2498798236</v>
          </cell>
          <cell r="B187" t="str">
            <v>Adil Eleba</v>
          </cell>
          <cell r="C187" t="str">
            <v>ELITE HEART</v>
          </cell>
          <cell r="D187" t="str">
            <v>Engineer</v>
          </cell>
        </row>
        <row r="188">
          <cell r="A188" t="str">
            <v>2392656415</v>
          </cell>
          <cell r="B188" t="str">
            <v>Adil Farooq</v>
          </cell>
          <cell r="C188" t="str">
            <v>SAUDI BAUER</v>
          </cell>
          <cell r="D188" t="str">
            <v>Mechanic</v>
          </cell>
        </row>
        <row r="189">
          <cell r="A189" t="str">
            <v>2302376104</v>
          </cell>
          <cell r="B189" t="str">
            <v>Adil Hussain</v>
          </cell>
          <cell r="C189" t="str">
            <v>ELITE HEART</v>
          </cell>
          <cell r="D189" t="str">
            <v>Steel Fixer</v>
          </cell>
        </row>
        <row r="190">
          <cell r="A190" t="str">
            <v>2540521016</v>
          </cell>
          <cell r="B190" t="str">
            <v>Adil Jamil</v>
          </cell>
          <cell r="C190" t="str">
            <v>TAMIMI</v>
          </cell>
          <cell r="D190" t="str">
            <v>Painter</v>
          </cell>
        </row>
        <row r="191">
          <cell r="A191" t="str">
            <v>2596670576</v>
          </cell>
          <cell r="B191" t="str">
            <v>Adil Khan</v>
          </cell>
          <cell r="C191" t="str">
            <v>BUILDING ROOTS</v>
          </cell>
          <cell r="D191" t="str">
            <v>Steel Fixer</v>
          </cell>
        </row>
        <row r="192">
          <cell r="A192" t="str">
            <v>2578143501</v>
          </cell>
          <cell r="B192" t="str">
            <v>Adil Murad</v>
          </cell>
          <cell r="C192" t="str">
            <v>ELITE HEART</v>
          </cell>
          <cell r="D192" t="str">
            <v>Steel Fixer</v>
          </cell>
        </row>
        <row r="193">
          <cell r="A193" t="str">
            <v>2336956296</v>
          </cell>
          <cell r="B193" t="str">
            <v>Adil Murataza</v>
          </cell>
          <cell r="C193" t="str">
            <v>BUILDING ROOTS</v>
          </cell>
          <cell r="D193" t="str">
            <v>Electrician</v>
          </cell>
        </row>
        <row r="194">
          <cell r="A194" t="str">
            <v>2611295813</v>
          </cell>
          <cell r="B194" t="str">
            <v>Adil hussain</v>
          </cell>
          <cell r="C194" t="str">
            <v>ELITE HEART</v>
          </cell>
          <cell r="D194" t="str">
            <v>Steel Fixer</v>
          </cell>
        </row>
        <row r="195">
          <cell r="A195" t="str">
            <v>2522596051</v>
          </cell>
          <cell r="B195" t="str">
            <v>Adil nawaz</v>
          </cell>
          <cell r="C195" t="str">
            <v>ALMABANI CONT.</v>
          </cell>
          <cell r="D195" t="str">
            <v>C/H civil</v>
          </cell>
        </row>
        <row r="196">
          <cell r="A196" t="str">
            <v>2536777549</v>
          </cell>
          <cell r="B196" t="str">
            <v>Adnan</v>
          </cell>
          <cell r="C196" t="str">
            <v>GLOBAL CASTLES</v>
          </cell>
          <cell r="D196" t="str">
            <v>Operator</v>
          </cell>
        </row>
        <row r="197">
          <cell r="A197" t="str">
            <v>2525387885</v>
          </cell>
          <cell r="B197" t="str">
            <v>Adnan</v>
          </cell>
          <cell r="C197" t="str">
            <v>GULF MARK</v>
          </cell>
          <cell r="D197" t="str">
            <v>-</v>
          </cell>
        </row>
        <row r="198">
          <cell r="A198" t="str">
            <v>2556076236</v>
          </cell>
          <cell r="B198" t="str">
            <v>Adnan Hassan</v>
          </cell>
          <cell r="C198" t="str">
            <v>NFT</v>
          </cell>
          <cell r="D198" t="str">
            <v>Erector</v>
          </cell>
        </row>
        <row r="199">
          <cell r="A199" t="str">
            <v>2554422057</v>
          </cell>
          <cell r="B199" t="str">
            <v>Adnan Khan</v>
          </cell>
          <cell r="C199" t="str">
            <v>BUILDING ROOTS</v>
          </cell>
          <cell r="D199" t="str">
            <v>Labour</v>
          </cell>
        </row>
        <row r="200">
          <cell r="A200" t="str">
            <v>2163540632</v>
          </cell>
          <cell r="B200" t="str">
            <v>Adnan Mohammad</v>
          </cell>
          <cell r="C200" t="str">
            <v>BUILDING ROOTS</v>
          </cell>
          <cell r="D200" t="str">
            <v>Supervisor</v>
          </cell>
        </row>
        <row r="201">
          <cell r="A201" t="str">
            <v>2580326961</v>
          </cell>
          <cell r="B201" t="str">
            <v>Adnan khan</v>
          </cell>
          <cell r="C201" t="str">
            <v>BUILDING ROOTS</v>
          </cell>
          <cell r="D201" t="str">
            <v>Steel Fixer</v>
          </cell>
        </row>
        <row r="202">
          <cell r="A202" t="str">
            <v>2604543120</v>
          </cell>
          <cell r="B202" t="str">
            <v>Adul Manan</v>
          </cell>
          <cell r="C202" t="str">
            <v>BUILDING ROOTS</v>
          </cell>
          <cell r="D202" t="str">
            <v>Carpenter</v>
          </cell>
        </row>
        <row r="203">
          <cell r="A203" t="str">
            <v>2468060815</v>
          </cell>
          <cell r="B203" t="str">
            <v>Adulwab Musaed</v>
          </cell>
          <cell r="C203" t="str">
            <v>ELITE HEART</v>
          </cell>
          <cell r="D203" t="str">
            <v>Operator</v>
          </cell>
        </row>
        <row r="204">
          <cell r="A204" t="str">
            <v>2556227623</v>
          </cell>
          <cell r="B204" t="str">
            <v>Afaq Khan</v>
          </cell>
          <cell r="C204" t="str">
            <v>SAUDI BAUER</v>
          </cell>
          <cell r="D204" t="str">
            <v>Mechanical Team</v>
          </cell>
        </row>
        <row r="205">
          <cell r="A205" t="str">
            <v>2628464246</v>
          </cell>
          <cell r="B205" t="str">
            <v>Afran</v>
          </cell>
          <cell r="C205" t="str">
            <v>BUILDING ROOTS</v>
          </cell>
          <cell r="D205" t="str">
            <v>Carpenter</v>
          </cell>
        </row>
        <row r="206">
          <cell r="A206" t="str">
            <v>2560158830</v>
          </cell>
          <cell r="B206" t="str">
            <v>Afsar Ali</v>
          </cell>
          <cell r="C206" t="str">
            <v>BUILDING ROOTS</v>
          </cell>
          <cell r="D206" t="str">
            <v>Foreman</v>
          </cell>
        </row>
        <row r="207">
          <cell r="A207" t="str">
            <v>2533606592</v>
          </cell>
          <cell r="B207" t="str">
            <v>Aftar shah</v>
          </cell>
          <cell r="C207" t="str">
            <v>BUILDING ROOTS</v>
          </cell>
          <cell r="D207" t="str">
            <v>Surveyor</v>
          </cell>
        </row>
        <row r="208">
          <cell r="A208" t="str">
            <v>2608889099</v>
          </cell>
          <cell r="B208" t="str">
            <v>Aftikhar Khan</v>
          </cell>
          <cell r="C208" t="str">
            <v>ELITE HEART</v>
          </cell>
          <cell r="D208" t="str">
            <v>Carpenter</v>
          </cell>
        </row>
        <row r="209">
          <cell r="A209" t="str">
            <v>2489086104</v>
          </cell>
          <cell r="B209" t="str">
            <v>Afzal</v>
          </cell>
          <cell r="C209" t="str">
            <v>BUILDING ROOTS</v>
          </cell>
          <cell r="D209" t="str">
            <v>Carpenter</v>
          </cell>
        </row>
        <row r="210">
          <cell r="A210" t="str">
            <v>2603980802</v>
          </cell>
          <cell r="B210" t="str">
            <v>Ahad mohamed</v>
          </cell>
          <cell r="C210" t="str">
            <v>GULF MARK</v>
          </cell>
          <cell r="D210" t="str">
            <v>Bobcat operator</v>
          </cell>
        </row>
        <row r="211">
          <cell r="A211" t="str">
            <v>2597170410</v>
          </cell>
          <cell r="B211" t="str">
            <v>Ahhar Nawaz</v>
          </cell>
          <cell r="C211" t="str">
            <v>SAUDI BAUER</v>
          </cell>
          <cell r="D211" t="str">
            <v>Safety Officer</v>
          </cell>
        </row>
        <row r="212">
          <cell r="A212" t="str">
            <v>2581030703</v>
          </cell>
          <cell r="B212" t="str">
            <v>Ahmad</v>
          </cell>
          <cell r="C212" t="str">
            <v>BUILDING ROOTS</v>
          </cell>
          <cell r="D212" t="str">
            <v>Carpenter</v>
          </cell>
        </row>
        <row r="213">
          <cell r="A213" t="str">
            <v>2255968907</v>
          </cell>
          <cell r="B213" t="str">
            <v>Ahmad Aldamesh</v>
          </cell>
          <cell r="C213" t="str">
            <v>ULMA</v>
          </cell>
          <cell r="D213" t="str">
            <v>Site Engineer</v>
          </cell>
        </row>
        <row r="214">
          <cell r="A214" t="str">
            <v>2605636576</v>
          </cell>
          <cell r="B214" t="str">
            <v>Ahmad Faraz</v>
          </cell>
          <cell r="C214" t="str">
            <v>BUILDING ROOTS</v>
          </cell>
          <cell r="D214" t="str">
            <v>Labour</v>
          </cell>
        </row>
        <row r="215">
          <cell r="A215" t="str">
            <v>2618478560</v>
          </cell>
          <cell r="B215" t="str">
            <v>Ahmad Hassan</v>
          </cell>
          <cell r="C215" t="str">
            <v>ELITE HEART</v>
          </cell>
          <cell r="D215" t="str">
            <v>Labour</v>
          </cell>
        </row>
        <row r="216">
          <cell r="A216" t="str">
            <v>2550491092</v>
          </cell>
          <cell r="B216" t="str">
            <v>Ahmad Hussen</v>
          </cell>
          <cell r="C216" t="str">
            <v>ELITE HEART</v>
          </cell>
          <cell r="D216" t="str">
            <v>Foreman</v>
          </cell>
        </row>
        <row r="217">
          <cell r="A217" t="str">
            <v>2528825868</v>
          </cell>
          <cell r="B217" t="str">
            <v>Ahmad Khan</v>
          </cell>
          <cell r="C217" t="str">
            <v>SAUDI BAUER</v>
          </cell>
          <cell r="D217" t="str">
            <v>Helper</v>
          </cell>
        </row>
        <row r="218">
          <cell r="A218" t="str">
            <v>2541853673</v>
          </cell>
          <cell r="B218" t="str">
            <v>Ahmad Khan</v>
          </cell>
          <cell r="C218" t="str">
            <v>BUILDING ROOTS</v>
          </cell>
          <cell r="D218" t="str">
            <v>Labour</v>
          </cell>
        </row>
        <row r="219">
          <cell r="A219" t="str">
            <v>2608250524</v>
          </cell>
          <cell r="B219" t="str">
            <v>Ahmad Mudassir</v>
          </cell>
          <cell r="C219" t="str">
            <v>BUILDING ROOTS</v>
          </cell>
          <cell r="D219" t="str">
            <v>Assistant Surveyor</v>
          </cell>
        </row>
        <row r="220">
          <cell r="A220" t="str">
            <v>2574415929</v>
          </cell>
          <cell r="B220" t="str">
            <v>Ahmad Shahzad</v>
          </cell>
          <cell r="C220" t="str">
            <v>BUILDING ROOTS</v>
          </cell>
          <cell r="D220" t="str">
            <v>Safety Officer</v>
          </cell>
        </row>
        <row r="221">
          <cell r="A221" t="str">
            <v>2624584054</v>
          </cell>
          <cell r="B221" t="str">
            <v>Ahmad Zeb</v>
          </cell>
          <cell r="C221" t="str">
            <v>ELITE HEART</v>
          </cell>
          <cell r="D221" t="str">
            <v>Scaffolder</v>
          </cell>
        </row>
        <row r="222">
          <cell r="A222" t="str">
            <v>2623062292</v>
          </cell>
          <cell r="B222" t="str">
            <v>Ahmad ahsan</v>
          </cell>
          <cell r="C222" t="str">
            <v>RED CAMEL</v>
          </cell>
          <cell r="D222" t="str">
            <v>Forklift operator</v>
          </cell>
        </row>
        <row r="223">
          <cell r="A223" t="str">
            <v>2534065111</v>
          </cell>
          <cell r="B223" t="str">
            <v>Ahmar Younas</v>
          </cell>
          <cell r="C223" t="str">
            <v>ALMABANI CONT.</v>
          </cell>
          <cell r="D223" t="str">
            <v>Electrician</v>
          </cell>
        </row>
        <row r="224">
          <cell r="A224" t="str">
            <v>2523000640</v>
          </cell>
          <cell r="B224" t="str">
            <v>Ahmed</v>
          </cell>
          <cell r="C224" t="str">
            <v>BUILDING ROOTS</v>
          </cell>
          <cell r="D224" t="str">
            <v>Carpenter</v>
          </cell>
        </row>
        <row r="225">
          <cell r="A225" t="str">
            <v>2540747421</v>
          </cell>
          <cell r="B225" t="str">
            <v>Ahmed</v>
          </cell>
          <cell r="C225" t="str">
            <v>BUILDING ROOTS</v>
          </cell>
          <cell r="D225" t="str">
            <v>Carpenter</v>
          </cell>
        </row>
        <row r="226">
          <cell r="A226" t="str">
            <v>260824777</v>
          </cell>
          <cell r="B226" t="str">
            <v>Ahmed</v>
          </cell>
          <cell r="C226" t="str">
            <v>ELITE HEART</v>
          </cell>
          <cell r="D226" t="str">
            <v>Helper</v>
          </cell>
        </row>
        <row r="227">
          <cell r="A227" t="str">
            <v>2319339111</v>
          </cell>
          <cell r="B227" t="str">
            <v>Ahmed</v>
          </cell>
          <cell r="C227" t="str">
            <v>AL AZANI</v>
          </cell>
          <cell r="D227" t="str">
            <v>Boom Truck Operator</v>
          </cell>
        </row>
        <row r="228">
          <cell r="A228" t="str">
            <v>2588427555</v>
          </cell>
          <cell r="B228" t="str">
            <v>Ahmed Abd</v>
          </cell>
          <cell r="C228" t="str">
            <v>BUILDING ROOTS</v>
          </cell>
          <cell r="D228" t="str">
            <v>Engineer</v>
          </cell>
        </row>
        <row r="229">
          <cell r="A229" t="str">
            <v>2598271530</v>
          </cell>
          <cell r="B229" t="str">
            <v>Ahmed Abdalla</v>
          </cell>
          <cell r="C229" t="str">
            <v>SAUDI BAUER</v>
          </cell>
          <cell r="D229" t="str">
            <v>Boom Truck Driver</v>
          </cell>
        </row>
        <row r="230">
          <cell r="A230" t="str">
            <v>2615436934</v>
          </cell>
          <cell r="B230" t="str">
            <v>Ahmed Abdel Salam</v>
          </cell>
          <cell r="C230" t="str">
            <v>ELITE HEART</v>
          </cell>
          <cell r="D230" t="str">
            <v>Labour</v>
          </cell>
        </row>
        <row r="231">
          <cell r="A231" t="str">
            <v>2515802342</v>
          </cell>
          <cell r="B231" t="str">
            <v>Ahmed Abdo Ahmed</v>
          </cell>
          <cell r="C231" t="str">
            <v>BUILDING ROOTS</v>
          </cell>
          <cell r="D231" t="str">
            <v>Carpenter</v>
          </cell>
        </row>
        <row r="232">
          <cell r="A232" t="str">
            <v>2586447605</v>
          </cell>
          <cell r="B232" t="str">
            <v>Ahmed Abdullah</v>
          </cell>
          <cell r="C232" t="str">
            <v>BUILDING ROOTS</v>
          </cell>
          <cell r="D232" t="str">
            <v>Carpenter</v>
          </cell>
        </row>
        <row r="233">
          <cell r="A233" t="str">
            <v>2553295185</v>
          </cell>
          <cell r="B233" t="str">
            <v>Ahmed Abdullah</v>
          </cell>
          <cell r="C233" t="str">
            <v>ELITE HEART</v>
          </cell>
          <cell r="D233" t="str">
            <v>-</v>
          </cell>
        </row>
        <row r="234">
          <cell r="A234" t="str">
            <v>2595353927</v>
          </cell>
          <cell r="B234" t="str">
            <v>Ahmed Abdullah</v>
          </cell>
          <cell r="C234" t="str">
            <v>BUILDING ROOTS</v>
          </cell>
          <cell r="D234" t="str">
            <v>Driver</v>
          </cell>
        </row>
        <row r="235">
          <cell r="A235" t="str">
            <v>2509206666</v>
          </cell>
          <cell r="B235" t="str">
            <v>Ahmed Abdulwase</v>
          </cell>
          <cell r="C235" t="str">
            <v>BUILDING ROOTS</v>
          </cell>
          <cell r="D235" t="str">
            <v>Carpenter</v>
          </cell>
        </row>
        <row r="236">
          <cell r="A236" t="str">
            <v>2565279862</v>
          </cell>
          <cell r="B236" t="str">
            <v>Ahmed Adil</v>
          </cell>
          <cell r="C236" t="str">
            <v>ELITE HEART</v>
          </cell>
          <cell r="D236" t="str">
            <v>Engineer</v>
          </cell>
        </row>
        <row r="237">
          <cell r="A237" t="str">
            <v>2560486777</v>
          </cell>
          <cell r="B237" t="str">
            <v>Ahmed Alam</v>
          </cell>
          <cell r="C237" t="str">
            <v>ELITE HEART</v>
          </cell>
          <cell r="D237" t="str">
            <v>Driver</v>
          </cell>
        </row>
        <row r="238">
          <cell r="A238" t="str">
            <v>1110487038</v>
          </cell>
          <cell r="B238" t="str">
            <v>Ahmed Ali</v>
          </cell>
          <cell r="C238" t="str">
            <v>BUILDING ROOTS</v>
          </cell>
          <cell r="D238" t="str">
            <v>Site Engineer</v>
          </cell>
        </row>
        <row r="239">
          <cell r="A239" t="str">
            <v>2572481113</v>
          </cell>
          <cell r="B239" t="str">
            <v>Ahmed Ali</v>
          </cell>
          <cell r="C239" t="str">
            <v>AL AZANI</v>
          </cell>
          <cell r="D239" t="str">
            <v>Trailer Driver</v>
          </cell>
        </row>
        <row r="240">
          <cell r="A240" t="str">
            <v>2538018702</v>
          </cell>
          <cell r="B240" t="str">
            <v>Ahmed Ammar</v>
          </cell>
          <cell r="C240" t="str">
            <v>BOUYGUES CONST.</v>
          </cell>
          <cell r="D240" t="str">
            <v>Project Coordinator</v>
          </cell>
        </row>
        <row r="241">
          <cell r="A241" t="str">
            <v>2351191073</v>
          </cell>
          <cell r="B241" t="str">
            <v>Ahmed Ashar</v>
          </cell>
          <cell r="C241" t="str">
            <v>BUILDING ROOTS</v>
          </cell>
          <cell r="D241" t="str">
            <v>Foreman</v>
          </cell>
        </row>
        <row r="242">
          <cell r="A242" t="str">
            <v>2535429571</v>
          </cell>
          <cell r="B242" t="str">
            <v>Ahmed Ashraf</v>
          </cell>
          <cell r="C242" t="str">
            <v>BUILDING ROOTS</v>
          </cell>
          <cell r="D242" t="str">
            <v>Engineer</v>
          </cell>
        </row>
        <row r="243">
          <cell r="A243" t="str">
            <v>2598854335</v>
          </cell>
          <cell r="B243" t="str">
            <v>Ahmed Hanafy Omar</v>
          </cell>
          <cell r="C243" t="str">
            <v>ELITE HEART</v>
          </cell>
          <cell r="D243" t="str">
            <v>Painter</v>
          </cell>
        </row>
        <row r="244">
          <cell r="A244" t="str">
            <v>2604763371</v>
          </cell>
          <cell r="B244" t="str">
            <v>Ahmed Hassan</v>
          </cell>
          <cell r="C244" t="str">
            <v>BUILDING ROOTS</v>
          </cell>
          <cell r="D244" t="str">
            <v>Hse Officer</v>
          </cell>
        </row>
        <row r="245">
          <cell r="A245" t="str">
            <v>2609964669</v>
          </cell>
          <cell r="B245" t="str">
            <v>Ahmed Maqeb</v>
          </cell>
          <cell r="C245" t="str">
            <v>BUILDING ROOTS</v>
          </cell>
          <cell r="D245" t="str">
            <v>Carpenter</v>
          </cell>
        </row>
        <row r="246">
          <cell r="A246" t="str">
            <v>2335054389</v>
          </cell>
          <cell r="B246" t="str">
            <v>Ahmed Mohamed Rada</v>
          </cell>
          <cell r="C246" t="str">
            <v>SAUDI BAUER</v>
          </cell>
          <cell r="D246" t="str">
            <v>Crane Operator</v>
          </cell>
        </row>
        <row r="247">
          <cell r="A247" t="str">
            <v>2567105594</v>
          </cell>
          <cell r="B247" t="str">
            <v>Ahmed Moustafa</v>
          </cell>
          <cell r="C247" t="str">
            <v>GULF MARK</v>
          </cell>
          <cell r="D247" t="str">
            <v>Civil Engineer</v>
          </cell>
        </row>
        <row r="248">
          <cell r="A248" t="str">
            <v>2554143830</v>
          </cell>
          <cell r="B248" t="str">
            <v>Ahmed Muhammad</v>
          </cell>
          <cell r="C248" t="str">
            <v>ELITE HEART</v>
          </cell>
          <cell r="D248" t="str">
            <v>Supervisor</v>
          </cell>
        </row>
        <row r="249">
          <cell r="A249" t="str">
            <v>2530623574</v>
          </cell>
          <cell r="B249" t="str">
            <v>Ahmed Raza</v>
          </cell>
          <cell r="C249" t="str">
            <v>RED CAMEL</v>
          </cell>
          <cell r="D249" t="str">
            <v>Backhoe Loader</v>
          </cell>
        </row>
        <row r="250">
          <cell r="A250" t="str">
            <v>2514378559</v>
          </cell>
          <cell r="B250" t="str">
            <v>Ahmed Saif Farhan</v>
          </cell>
          <cell r="C250" t="str">
            <v>BUILDING ROOTS</v>
          </cell>
          <cell r="D250" t="str">
            <v>Carpenter</v>
          </cell>
        </row>
        <row r="251">
          <cell r="A251" t="str">
            <v>2559912825</v>
          </cell>
          <cell r="B251" t="str">
            <v>Ahmed Samir</v>
          </cell>
          <cell r="C251" t="str">
            <v>ALMABANI CONT.</v>
          </cell>
          <cell r="D251" t="str">
            <v>Surveyor</v>
          </cell>
        </row>
        <row r="252">
          <cell r="A252" t="str">
            <v>2532362775</v>
          </cell>
          <cell r="B252" t="str">
            <v>Ahmed Shah</v>
          </cell>
          <cell r="C252" t="str">
            <v>JV (BBI-AGC)</v>
          </cell>
          <cell r="D252" t="str">
            <v>Plumber</v>
          </cell>
        </row>
        <row r="253">
          <cell r="A253" t="str">
            <v>2615134380</v>
          </cell>
          <cell r="B253" t="str">
            <v>Ahmed Yousif</v>
          </cell>
          <cell r="C253" t="str">
            <v>BUILDING ROOTS</v>
          </cell>
          <cell r="D253" t="str">
            <v>Engineer</v>
          </cell>
        </row>
        <row r="254">
          <cell r="A254" t="str">
            <v>2418290157</v>
          </cell>
          <cell r="B254" t="str">
            <v>Ahmed Zourob</v>
          </cell>
          <cell r="C254" t="str">
            <v>BUILDING ROOTS</v>
          </cell>
          <cell r="D254" t="str">
            <v>Qa / Qc Manager</v>
          </cell>
        </row>
        <row r="255">
          <cell r="A255" t="str">
            <v>2501421842</v>
          </cell>
          <cell r="B255" t="str">
            <v>Ahmed ali</v>
          </cell>
          <cell r="C255" t="str">
            <v>AALICO</v>
          </cell>
          <cell r="D255" t="str">
            <v>Operator</v>
          </cell>
        </row>
        <row r="256">
          <cell r="A256" t="str">
            <v>2531241467</v>
          </cell>
          <cell r="B256" t="str">
            <v>Ahmed elzankasy</v>
          </cell>
          <cell r="C256" t="str">
            <v>AALICO</v>
          </cell>
          <cell r="D256" t="str">
            <v>QA/QC</v>
          </cell>
        </row>
        <row r="257">
          <cell r="A257" t="str">
            <v>2573803823</v>
          </cell>
          <cell r="B257" t="str">
            <v>Ahmed hamdy</v>
          </cell>
          <cell r="C257" t="str">
            <v>JV (BBI-AGC)</v>
          </cell>
          <cell r="D257" t="str">
            <v>Site Engineer</v>
          </cell>
        </row>
        <row r="258">
          <cell r="A258" t="str">
            <v>2634045052</v>
          </cell>
          <cell r="B258" t="str">
            <v>Ahmed mohamed</v>
          </cell>
          <cell r="C258" t="str">
            <v>GULF MARK</v>
          </cell>
          <cell r="D258" t="str">
            <v>supervisor</v>
          </cell>
        </row>
        <row r="259">
          <cell r="A259" t="str">
            <v>2570850822</v>
          </cell>
          <cell r="B259" t="str">
            <v>Ahmen Ayman</v>
          </cell>
          <cell r="C259" t="str">
            <v>BUILDING ROOTS</v>
          </cell>
          <cell r="D259" t="str">
            <v>Scaffolder</v>
          </cell>
        </row>
        <row r="260">
          <cell r="A260" t="str">
            <v>2545045276</v>
          </cell>
          <cell r="B260" t="str">
            <v>Ahsan</v>
          </cell>
          <cell r="C260" t="str">
            <v>TAMIMI</v>
          </cell>
          <cell r="D260" t="str">
            <v>Electrician</v>
          </cell>
        </row>
        <row r="261">
          <cell r="A261" t="str">
            <v>2605507967</v>
          </cell>
          <cell r="B261" t="str">
            <v>Ahsan Nazir</v>
          </cell>
          <cell r="C261" t="str">
            <v>BUILDING ROOTS</v>
          </cell>
          <cell r="D261" t="str">
            <v>Surveyor</v>
          </cell>
        </row>
        <row r="262">
          <cell r="A262" t="str">
            <v>2590710980</v>
          </cell>
          <cell r="B262" t="str">
            <v>Ahsan Ullah</v>
          </cell>
          <cell r="C262" t="str">
            <v>BUILDING ROOTS</v>
          </cell>
          <cell r="D262" t="str">
            <v>Steel Fixer</v>
          </cell>
        </row>
        <row r="263">
          <cell r="A263" t="str">
            <v>2721420238</v>
          </cell>
          <cell r="B263" t="str">
            <v>Aiman Abdi</v>
          </cell>
          <cell r="C263" t="str">
            <v>BUILDING ROOTS</v>
          </cell>
          <cell r="D263" t="str">
            <v>Carpenter</v>
          </cell>
        </row>
        <row r="264">
          <cell r="A264" t="str">
            <v>2508670938</v>
          </cell>
          <cell r="B264" t="str">
            <v>Aiman Sadeq</v>
          </cell>
          <cell r="C264" t="str">
            <v>BUILDING ROOTS</v>
          </cell>
          <cell r="D264" t="str">
            <v>Carpenter</v>
          </cell>
        </row>
        <row r="265">
          <cell r="A265" t="str">
            <v>2543963785</v>
          </cell>
          <cell r="B265" t="str">
            <v>Aiman abdullah</v>
          </cell>
          <cell r="C265" t="str">
            <v>BUILDING ROOTS</v>
          </cell>
          <cell r="D265" t="str">
            <v>Carpenter</v>
          </cell>
        </row>
        <row r="266">
          <cell r="A266" t="str">
            <v>2633872615</v>
          </cell>
          <cell r="B266" t="str">
            <v>Aiman ali</v>
          </cell>
          <cell r="C266" t="str">
            <v>BUILDING ROOTS</v>
          </cell>
          <cell r="D266" t="str">
            <v>Carpenter</v>
          </cell>
        </row>
        <row r="267">
          <cell r="A267" t="str">
            <v>2630264089</v>
          </cell>
          <cell r="B267" t="str">
            <v>Ajab Gul</v>
          </cell>
          <cell r="C267" t="str">
            <v>BUILDING ROOTS</v>
          </cell>
          <cell r="D267" t="str">
            <v>Carpenter</v>
          </cell>
        </row>
        <row r="268">
          <cell r="A268" t="str">
            <v>2553903259</v>
          </cell>
          <cell r="B268" t="str">
            <v>Ajab Khan</v>
          </cell>
          <cell r="C268" t="str">
            <v>ELITE HEART</v>
          </cell>
          <cell r="D268" t="str">
            <v>Mason</v>
          </cell>
        </row>
        <row r="269">
          <cell r="A269" t="str">
            <v>2603597499</v>
          </cell>
          <cell r="B269" t="str">
            <v>Ajab Khan</v>
          </cell>
          <cell r="C269" t="str">
            <v>ELITE HEART</v>
          </cell>
          <cell r="D269" t="str">
            <v>Carpenter</v>
          </cell>
        </row>
        <row r="270">
          <cell r="A270" t="str">
            <v>2048829697</v>
          </cell>
          <cell r="B270" t="str">
            <v>Ajaz Ahmed</v>
          </cell>
          <cell r="C270" t="str">
            <v>BUILDING ROOTS</v>
          </cell>
          <cell r="D270" t="str">
            <v>Foreman</v>
          </cell>
        </row>
        <row r="271">
          <cell r="A271" t="str">
            <v>2523228076</v>
          </cell>
          <cell r="B271" t="str">
            <v>Ajeet Kumar</v>
          </cell>
          <cell r="C271" t="str">
            <v>ALMABANI CONT.</v>
          </cell>
          <cell r="D271" t="str">
            <v>Electrician</v>
          </cell>
        </row>
        <row r="272">
          <cell r="A272" t="str">
            <v>2541447666</v>
          </cell>
          <cell r="B272" t="str">
            <v>Ajith</v>
          </cell>
          <cell r="C272" t="str">
            <v>PRAINSA</v>
          </cell>
          <cell r="D272" t="str">
            <v>Engineer</v>
          </cell>
        </row>
        <row r="273">
          <cell r="A273" t="str">
            <v>2607834534</v>
          </cell>
          <cell r="B273" t="str">
            <v>Ajmir Khan</v>
          </cell>
          <cell r="C273" t="str">
            <v>BUILDING ROOTS</v>
          </cell>
          <cell r="D273" t="str">
            <v>Steel Fixer</v>
          </cell>
        </row>
        <row r="274">
          <cell r="A274" t="str">
            <v>2587355856</v>
          </cell>
          <cell r="B274" t="str">
            <v>Akash Mia</v>
          </cell>
          <cell r="C274" t="str">
            <v>BUILDING ROOTS</v>
          </cell>
          <cell r="D274" t="str">
            <v>Scaffolder</v>
          </cell>
        </row>
        <row r="275">
          <cell r="A275" t="str">
            <v>2547597456</v>
          </cell>
          <cell r="B275" t="str">
            <v>Akbar Ali</v>
          </cell>
          <cell r="C275" t="str">
            <v>BUILDING ROOTS</v>
          </cell>
          <cell r="D275" t="str">
            <v>Labour</v>
          </cell>
        </row>
        <row r="276">
          <cell r="A276" t="str">
            <v>2314391968</v>
          </cell>
          <cell r="B276" t="str">
            <v>Akbar Ali Khan</v>
          </cell>
          <cell r="C276" t="str">
            <v>BUILDING ROOTS</v>
          </cell>
          <cell r="D276" t="str">
            <v>Carpenter</v>
          </cell>
        </row>
        <row r="277">
          <cell r="A277" t="str">
            <v>2596158606</v>
          </cell>
          <cell r="B277" t="str">
            <v>Akbar Bacha</v>
          </cell>
          <cell r="C277" t="str">
            <v>ELITE HEART</v>
          </cell>
          <cell r="D277" t="str">
            <v>Labour</v>
          </cell>
        </row>
        <row r="278">
          <cell r="A278" t="str">
            <v>2586857126</v>
          </cell>
          <cell r="B278" t="str">
            <v>Akbar Hussain</v>
          </cell>
          <cell r="C278" t="str">
            <v>BUILDING ROOTS</v>
          </cell>
          <cell r="D278" t="str">
            <v>Steel Fixer</v>
          </cell>
        </row>
        <row r="279">
          <cell r="A279" t="str">
            <v>2585535764</v>
          </cell>
          <cell r="B279" t="str">
            <v>Akbar Khan</v>
          </cell>
          <cell r="C279" t="str">
            <v>BUILDING ROOTS</v>
          </cell>
          <cell r="D279" t="str">
            <v>Dump Truck Driver</v>
          </cell>
        </row>
        <row r="280">
          <cell r="A280" t="str">
            <v>2578600732</v>
          </cell>
          <cell r="B280" t="str">
            <v>Akber</v>
          </cell>
          <cell r="C280" t="str">
            <v>ELITE HEART</v>
          </cell>
          <cell r="D280" t="str">
            <v>Scaffolder</v>
          </cell>
        </row>
        <row r="281">
          <cell r="A281" t="str">
            <v>2576073650</v>
          </cell>
          <cell r="B281" t="str">
            <v>Akhatar Zada</v>
          </cell>
          <cell r="C281" t="str">
            <v>BUILDING ROOTS</v>
          </cell>
          <cell r="D281" t="str">
            <v>Labour</v>
          </cell>
        </row>
        <row r="282">
          <cell r="A282" t="str">
            <v>2521377727</v>
          </cell>
          <cell r="B282" t="str">
            <v>Akhilesh Kumar</v>
          </cell>
          <cell r="C282" t="str">
            <v>ALMABANI CONT.</v>
          </cell>
          <cell r="D282" t="str">
            <v>Electrician</v>
          </cell>
        </row>
        <row r="283">
          <cell r="A283" t="str">
            <v>2611039997</v>
          </cell>
          <cell r="B283" t="str">
            <v>Akhtar</v>
          </cell>
          <cell r="C283" t="str">
            <v>BUILDING ROOTS</v>
          </cell>
          <cell r="D283" t="str">
            <v>labor</v>
          </cell>
        </row>
        <row r="284">
          <cell r="A284" t="str">
            <v>2559814153</v>
          </cell>
          <cell r="B284" t="str">
            <v>Akhtar Gul</v>
          </cell>
          <cell r="C284" t="str">
            <v>BUILDING ROOTS</v>
          </cell>
          <cell r="D284" t="str">
            <v>Carpenter</v>
          </cell>
        </row>
        <row r="285">
          <cell r="A285" t="str">
            <v>2521631453</v>
          </cell>
          <cell r="B285" t="str">
            <v>Akhtar Ijaz</v>
          </cell>
          <cell r="C285" t="str">
            <v>BUILDING ROOTS</v>
          </cell>
          <cell r="D285" t="str">
            <v>Foreman</v>
          </cell>
        </row>
        <row r="286">
          <cell r="A286" t="str">
            <v>2613989918</v>
          </cell>
          <cell r="B286" t="str">
            <v>Akhtar Nabi</v>
          </cell>
          <cell r="C286" t="str">
            <v>ELITE HEART</v>
          </cell>
          <cell r="D286" t="str">
            <v>Scaffolder</v>
          </cell>
        </row>
        <row r="287">
          <cell r="A287" t="str">
            <v>2572958540</v>
          </cell>
          <cell r="B287" t="str">
            <v>Akhtar Zada</v>
          </cell>
          <cell r="C287" t="str">
            <v>ELITE HEART</v>
          </cell>
          <cell r="D287" t="str">
            <v>Steel Fixer</v>
          </cell>
        </row>
        <row r="288">
          <cell r="A288" t="str">
            <v>2618184614</v>
          </cell>
          <cell r="B288" t="str">
            <v>Akhtar Zaman</v>
          </cell>
          <cell r="C288" t="str">
            <v>ELITE HEART</v>
          </cell>
          <cell r="D288" t="str">
            <v>Carpenter</v>
          </cell>
        </row>
        <row r="289">
          <cell r="A289" t="str">
            <v>2553926797</v>
          </cell>
          <cell r="B289" t="str">
            <v>Akhtar zaib</v>
          </cell>
          <cell r="C289" t="str">
            <v>BUILDING ROOTS</v>
          </cell>
          <cell r="D289" t="str">
            <v>labor</v>
          </cell>
        </row>
        <row r="290">
          <cell r="A290" t="str">
            <v>2517143075</v>
          </cell>
          <cell r="B290" t="str">
            <v>Akib Abu Sadam</v>
          </cell>
          <cell r="C290" t="str">
            <v>BUILDING ROOTS</v>
          </cell>
          <cell r="D290" t="str">
            <v>Scaffolder</v>
          </cell>
        </row>
        <row r="291">
          <cell r="A291" t="str">
            <v>2599051576</v>
          </cell>
          <cell r="B291" t="str">
            <v>Akif</v>
          </cell>
          <cell r="C291" t="str">
            <v>GLOBAL CASTLE</v>
          </cell>
          <cell r="D291" t="str">
            <v>Foreman</v>
          </cell>
        </row>
        <row r="292">
          <cell r="A292" t="str">
            <v>2475407009</v>
          </cell>
          <cell r="B292" t="str">
            <v>Akram Adeb</v>
          </cell>
          <cell r="C292" t="str">
            <v>BUILDING ROOTS</v>
          </cell>
          <cell r="D292" t="str">
            <v>Carpenter</v>
          </cell>
        </row>
        <row r="293">
          <cell r="A293" t="str">
            <v>2609078783</v>
          </cell>
          <cell r="B293" t="str">
            <v>Akram Ali</v>
          </cell>
          <cell r="C293" t="str">
            <v>BUILDING ROOTS</v>
          </cell>
          <cell r="D293" t="str">
            <v>Carpenter</v>
          </cell>
        </row>
        <row r="294">
          <cell r="A294" t="str">
            <v>2526214172</v>
          </cell>
          <cell r="B294" t="str">
            <v>Akram Khan</v>
          </cell>
          <cell r="C294" t="str">
            <v>SAUDI BAUER</v>
          </cell>
          <cell r="D294" t="str">
            <v>Driver</v>
          </cell>
        </row>
        <row r="295">
          <cell r="A295" t="str">
            <v>2630732937</v>
          </cell>
          <cell r="B295" t="str">
            <v>Akram khan</v>
          </cell>
          <cell r="C295" t="str">
            <v>ELITE HEART</v>
          </cell>
          <cell r="D295" t="str">
            <v>Bobcat operator</v>
          </cell>
        </row>
        <row r="296">
          <cell r="A296" t="str">
            <v>2580037337</v>
          </cell>
          <cell r="B296" t="str">
            <v>Aktar Zebgul</v>
          </cell>
          <cell r="C296" t="str">
            <v>BUILDING ROOTS</v>
          </cell>
          <cell r="D296" t="str">
            <v>Labour</v>
          </cell>
        </row>
        <row r="297">
          <cell r="A297" t="str">
            <v>2484450891</v>
          </cell>
          <cell r="B297" t="str">
            <v>Al Amin</v>
          </cell>
          <cell r="C297" t="str">
            <v>GLOBAL CASTLES</v>
          </cell>
          <cell r="D297" t="str">
            <v>Civil</v>
          </cell>
        </row>
        <row r="298">
          <cell r="A298" t="str">
            <v>2605262779</v>
          </cell>
          <cell r="B298" t="str">
            <v>Al Amin</v>
          </cell>
          <cell r="C298" t="str">
            <v>BUILDING ROOTS</v>
          </cell>
          <cell r="D298" t="str">
            <v>Scaffolder</v>
          </cell>
        </row>
        <row r="299">
          <cell r="A299" t="str">
            <v>2631380827</v>
          </cell>
          <cell r="B299" t="str">
            <v>Al Amin</v>
          </cell>
          <cell r="C299" t="str">
            <v>GLOBAL CASTLES</v>
          </cell>
          <cell r="D299" t="str">
            <v>Labour</v>
          </cell>
        </row>
        <row r="300">
          <cell r="A300" t="str">
            <v>2476453515</v>
          </cell>
          <cell r="B300" t="str">
            <v>Al Amin Mia</v>
          </cell>
          <cell r="C300" t="str">
            <v>GLOBAL CASTLES</v>
          </cell>
          <cell r="D300" t="str">
            <v>Foreman</v>
          </cell>
        </row>
        <row r="301">
          <cell r="A301" t="str">
            <v>2572344980</v>
          </cell>
          <cell r="B301" t="str">
            <v>Ala Aladin</v>
          </cell>
          <cell r="C301" t="str">
            <v>BUILDING ROOTS</v>
          </cell>
          <cell r="D301" t="str">
            <v>Carpenter</v>
          </cell>
        </row>
        <row r="302">
          <cell r="A302" t="str">
            <v>2622040687</v>
          </cell>
          <cell r="B302" t="str">
            <v>Ala uddin</v>
          </cell>
          <cell r="C302" t="str">
            <v>GLOBAL CASTLE</v>
          </cell>
          <cell r="D302" t="str">
            <v>Carpenter</v>
          </cell>
        </row>
        <row r="303">
          <cell r="A303" t="str">
            <v>2450283078</v>
          </cell>
          <cell r="B303" t="str">
            <v>Alaa Abdul</v>
          </cell>
          <cell r="C303" t="str">
            <v>BUILDING ROOTS</v>
          </cell>
          <cell r="D303" t="str">
            <v>Carpenter</v>
          </cell>
        </row>
        <row r="304">
          <cell r="A304" t="str">
            <v>2374804835</v>
          </cell>
          <cell r="B304" t="str">
            <v>Alaa harb</v>
          </cell>
          <cell r="C304" t="str">
            <v>ALMABANI CONT.</v>
          </cell>
          <cell r="D304" t="str">
            <v>Electrical general foreman</v>
          </cell>
        </row>
        <row r="305">
          <cell r="A305" t="str">
            <v>1083094672</v>
          </cell>
          <cell r="B305" t="str">
            <v>Alabdul</v>
          </cell>
          <cell r="C305" t="str">
            <v>Qiddiya</v>
          </cell>
          <cell r="D305" t="str">
            <v>photo</v>
          </cell>
        </row>
        <row r="306">
          <cell r="A306" t="str">
            <v>2606339063</v>
          </cell>
          <cell r="B306" t="str">
            <v>Alam</v>
          </cell>
          <cell r="C306" t="str">
            <v>GLOBAL CASTLES</v>
          </cell>
          <cell r="D306" t="str">
            <v>Labour</v>
          </cell>
        </row>
        <row r="307">
          <cell r="A307" t="str">
            <v>2607399041</v>
          </cell>
          <cell r="B307" t="str">
            <v>Alam Molik</v>
          </cell>
          <cell r="C307" t="str">
            <v>GLOBAL CASTLES</v>
          </cell>
          <cell r="D307" t="str">
            <v>Labour</v>
          </cell>
        </row>
        <row r="308">
          <cell r="A308" t="str">
            <v>2571988076</v>
          </cell>
          <cell r="B308" t="str">
            <v>Alam Zeb Khan</v>
          </cell>
          <cell r="C308" t="str">
            <v>BUILDING ROOTS</v>
          </cell>
          <cell r="D308" t="str">
            <v>Labour</v>
          </cell>
        </row>
        <row r="309">
          <cell r="A309" t="str">
            <v>2149426526</v>
          </cell>
          <cell r="B309" t="str">
            <v>Alam ali</v>
          </cell>
          <cell r="C309" t="str">
            <v>ELITE HEART</v>
          </cell>
          <cell r="D309" t="str">
            <v>Steel Fixer</v>
          </cell>
        </row>
        <row r="310">
          <cell r="A310" t="str">
            <v>2542748419</v>
          </cell>
          <cell r="B310" t="str">
            <v>Alamgeer Khan</v>
          </cell>
          <cell r="C310" t="str">
            <v>ELITE HEART</v>
          </cell>
          <cell r="D310" t="str">
            <v>Steel Fixer</v>
          </cell>
        </row>
        <row r="311">
          <cell r="A311" t="str">
            <v>2521915542</v>
          </cell>
          <cell r="B311" t="str">
            <v>Alamgir md</v>
          </cell>
          <cell r="C311" t="str">
            <v>ULMA - SMC</v>
          </cell>
          <cell r="D311" t="str">
            <v>helper welder</v>
          </cell>
        </row>
        <row r="312">
          <cell r="A312" t="str">
            <v>2610030880</v>
          </cell>
          <cell r="B312" t="str">
            <v>Alamin</v>
          </cell>
          <cell r="C312" t="str">
            <v>GLOBAL CASTLES</v>
          </cell>
          <cell r="D312" t="str">
            <v>Labour</v>
          </cell>
        </row>
        <row r="313">
          <cell r="A313" t="str">
            <v>2545779098</v>
          </cell>
          <cell r="B313" t="str">
            <v>Alamin</v>
          </cell>
          <cell r="C313" t="str">
            <v>GLOBAL CASTLES</v>
          </cell>
          <cell r="D313" t="str">
            <v>Rigger</v>
          </cell>
        </row>
        <row r="314">
          <cell r="A314" t="str">
            <v>2492354960</v>
          </cell>
          <cell r="B314" t="str">
            <v>Alamsher</v>
          </cell>
          <cell r="C314" t="str">
            <v>ELITE HEART</v>
          </cell>
          <cell r="D314" t="str">
            <v>Driver</v>
          </cell>
        </row>
        <row r="315">
          <cell r="A315" t="str">
            <v>2401491671</v>
          </cell>
          <cell r="B315" t="str">
            <v>Alamzaib Khan</v>
          </cell>
          <cell r="C315" t="str">
            <v>ELITE HEART</v>
          </cell>
          <cell r="D315" t="str">
            <v>Carpenter</v>
          </cell>
        </row>
        <row r="316">
          <cell r="A316" t="str">
            <v>2246600130</v>
          </cell>
          <cell r="B316" t="str">
            <v>Alawi Salem</v>
          </cell>
          <cell r="C316" t="str">
            <v>BUILDING ROOTS</v>
          </cell>
          <cell r="D316" t="str">
            <v>Dump Truck Driver</v>
          </cell>
        </row>
        <row r="317">
          <cell r="A317" t="str">
            <v>246393685</v>
          </cell>
          <cell r="B317" t="str">
            <v>Aledelaty Ibrahim</v>
          </cell>
          <cell r="C317" t="str">
            <v>ALMABANI CONT.</v>
          </cell>
          <cell r="D317" t="str">
            <v>Foreman</v>
          </cell>
        </row>
        <row r="318">
          <cell r="A318" t="str">
            <v>2613276852</v>
          </cell>
          <cell r="B318" t="str">
            <v>Aleem Rehman</v>
          </cell>
          <cell r="C318" t="str">
            <v>SAUDI BAUER</v>
          </cell>
          <cell r="D318" t="str">
            <v>Helper</v>
          </cell>
        </row>
        <row r="319">
          <cell r="A319" t="str">
            <v>2541299489</v>
          </cell>
          <cell r="B319" t="str">
            <v>Aleksey</v>
          </cell>
          <cell r="C319" t="str">
            <v>JV (BBI-AGC)</v>
          </cell>
          <cell r="D319" t="str">
            <v>Lifting Supervisor</v>
          </cell>
        </row>
        <row r="320">
          <cell r="A320" t="str">
            <v>2504208949</v>
          </cell>
          <cell r="B320" t="str">
            <v>Alhadul</v>
          </cell>
          <cell r="C320" t="str">
            <v>GLOBAL CASTLES</v>
          </cell>
          <cell r="D320" t="str">
            <v>Rigger</v>
          </cell>
        </row>
        <row r="321">
          <cell r="A321" t="str">
            <v>1133932192</v>
          </cell>
          <cell r="B321" t="str">
            <v>Alharthi</v>
          </cell>
          <cell r="C321" t="str">
            <v>JV (BBI-AGC)</v>
          </cell>
          <cell r="D321" t="str">
            <v>Security</v>
          </cell>
        </row>
        <row r="322">
          <cell r="A322" t="str">
            <v>2450277708</v>
          </cell>
          <cell r="B322" t="str">
            <v>Alhusami</v>
          </cell>
          <cell r="C322" t="str">
            <v>BUILDING ROOTS</v>
          </cell>
          <cell r="D322" t="str">
            <v>Scaffolder</v>
          </cell>
        </row>
        <row r="323">
          <cell r="A323" t="str">
            <v>2505125886</v>
          </cell>
          <cell r="B323" t="str">
            <v>Ali</v>
          </cell>
          <cell r="C323" t="str">
            <v>BUILDING ROOTS</v>
          </cell>
          <cell r="D323" t="str">
            <v>Steel Fixer</v>
          </cell>
        </row>
        <row r="324">
          <cell r="A324" t="str">
            <v>2585614155</v>
          </cell>
          <cell r="B324" t="str">
            <v>Ali</v>
          </cell>
          <cell r="C324" t="str">
            <v>BUILDING ROOTS</v>
          </cell>
          <cell r="D324" t="str">
            <v>Steel Fixer</v>
          </cell>
        </row>
        <row r="325">
          <cell r="A325" t="str">
            <v>2450733973</v>
          </cell>
          <cell r="B325" t="str">
            <v>Ali</v>
          </cell>
          <cell r="C325" t="str">
            <v>ALMABANI CONT.</v>
          </cell>
          <cell r="D325" t="str">
            <v>Electrician</v>
          </cell>
        </row>
        <row r="326">
          <cell r="A326" t="str">
            <v>2585983080</v>
          </cell>
          <cell r="B326" t="str">
            <v>Ali Abdullah</v>
          </cell>
          <cell r="C326" t="str">
            <v>BUILDING ROOTS</v>
          </cell>
          <cell r="D326" t="str">
            <v>Carpenter</v>
          </cell>
        </row>
        <row r="327">
          <cell r="A327" t="str">
            <v>2598210702</v>
          </cell>
          <cell r="B327" t="str">
            <v>Ali Ahmed</v>
          </cell>
          <cell r="C327" t="str">
            <v>BUILDING ROOTS</v>
          </cell>
          <cell r="D327" t="str">
            <v>Wheel Loader</v>
          </cell>
        </row>
        <row r="328">
          <cell r="A328" t="str">
            <v>2611346426</v>
          </cell>
          <cell r="B328" t="str">
            <v>Ali Ahmed Sabir</v>
          </cell>
          <cell r="C328" t="str">
            <v>SAUDI BAUER</v>
          </cell>
          <cell r="D328" t="str">
            <v>Helper</v>
          </cell>
        </row>
        <row r="329">
          <cell r="A329" t="str">
            <v>1109982916</v>
          </cell>
          <cell r="B329" t="str">
            <v>Ali Alnakhli</v>
          </cell>
          <cell r="C329" t="str">
            <v>BOUYGUES CONST.</v>
          </cell>
          <cell r="D329" t="str">
            <v>Electrical Engineer</v>
          </cell>
        </row>
        <row r="330">
          <cell r="A330" t="str">
            <v>2604746533</v>
          </cell>
          <cell r="B330" t="str">
            <v>Ali Eman Hussain</v>
          </cell>
          <cell r="C330" t="str">
            <v>AL AZANI</v>
          </cell>
          <cell r="D330" t="str">
            <v>Crane Operator</v>
          </cell>
        </row>
        <row r="331">
          <cell r="A331" t="str">
            <v>2615525967</v>
          </cell>
          <cell r="B331" t="str">
            <v>Ali Hamza</v>
          </cell>
          <cell r="C331" t="str">
            <v>BUILDING ROOTS</v>
          </cell>
          <cell r="D331" t="str">
            <v>Steel Fixer</v>
          </cell>
        </row>
        <row r="332">
          <cell r="A332" t="str">
            <v>2512791720</v>
          </cell>
          <cell r="B332" t="str">
            <v>Ali Hamza</v>
          </cell>
          <cell r="C332" t="str">
            <v>BUILDING ROOTS</v>
          </cell>
          <cell r="D332" t="str">
            <v>Steel Fixer</v>
          </cell>
        </row>
        <row r="333">
          <cell r="A333" t="str">
            <v>2442079808</v>
          </cell>
          <cell r="B333" t="str">
            <v>Ali Hamza</v>
          </cell>
          <cell r="C333" t="str">
            <v>BUILDING ROOTS</v>
          </cell>
          <cell r="D333" t="str">
            <v>Steel Fixer</v>
          </cell>
        </row>
        <row r="334">
          <cell r="A334" t="str">
            <v>2558359465</v>
          </cell>
          <cell r="B334" t="str">
            <v>Ali Hamza</v>
          </cell>
          <cell r="C334" t="str">
            <v>ELITE HEART</v>
          </cell>
          <cell r="D334" t="str">
            <v>Steel Fixer</v>
          </cell>
        </row>
        <row r="335">
          <cell r="A335" t="str">
            <v>2619659069</v>
          </cell>
          <cell r="B335" t="str">
            <v>Ali Hassan</v>
          </cell>
          <cell r="C335" t="str">
            <v>BUILDING ROOTS</v>
          </cell>
          <cell r="D335" t="str">
            <v>Steel Fixer</v>
          </cell>
        </row>
        <row r="336">
          <cell r="A336" t="str">
            <v>2255580942</v>
          </cell>
          <cell r="B336" t="str">
            <v>Ali Hossain</v>
          </cell>
          <cell r="C336" t="str">
            <v>IDEA AND FLOW</v>
          </cell>
          <cell r="D336" t="str">
            <v>Helper</v>
          </cell>
        </row>
        <row r="337">
          <cell r="A337" t="str">
            <v>1137708374</v>
          </cell>
          <cell r="B337" t="str">
            <v>Ali Houshab</v>
          </cell>
          <cell r="C337" t="str">
            <v>BOUYGUES CONST.</v>
          </cell>
          <cell r="D337" t="str">
            <v>Hr Manager</v>
          </cell>
        </row>
        <row r="338">
          <cell r="A338" t="str">
            <v>2628253243</v>
          </cell>
          <cell r="B338" t="str">
            <v>Ali Hussain</v>
          </cell>
          <cell r="C338" t="str">
            <v>BUILDING ROOTS</v>
          </cell>
          <cell r="D338" t="str">
            <v>Steel Fixer</v>
          </cell>
        </row>
        <row r="339">
          <cell r="A339" t="str">
            <v>2527811091</v>
          </cell>
          <cell r="B339" t="str">
            <v>Ali Khalid</v>
          </cell>
          <cell r="C339" t="str">
            <v>ELITE HEART</v>
          </cell>
          <cell r="D339" t="str">
            <v>Labour</v>
          </cell>
        </row>
        <row r="340">
          <cell r="A340" t="str">
            <v>2544672336</v>
          </cell>
          <cell r="B340" t="str">
            <v>Ali Khan</v>
          </cell>
          <cell r="C340" t="str">
            <v>ELITE HEART</v>
          </cell>
          <cell r="D340" t="str">
            <v>Scaffolder</v>
          </cell>
        </row>
        <row r="341">
          <cell r="A341" t="str">
            <v>2602270502</v>
          </cell>
          <cell r="B341" t="str">
            <v>Ali Momin</v>
          </cell>
          <cell r="C341" t="str">
            <v>EURO TENT</v>
          </cell>
          <cell r="D341" t="str">
            <v>Labour</v>
          </cell>
        </row>
        <row r="342">
          <cell r="A342" t="str">
            <v>2573653348</v>
          </cell>
          <cell r="B342" t="str">
            <v>Ali Murtaza</v>
          </cell>
          <cell r="C342" t="str">
            <v>ALMABANI CONT.</v>
          </cell>
          <cell r="D342" t="str">
            <v>Mechanical Engineer</v>
          </cell>
        </row>
        <row r="343">
          <cell r="A343" t="str">
            <v>2593814557</v>
          </cell>
          <cell r="B343" t="str">
            <v>Ali Raza</v>
          </cell>
          <cell r="C343" t="str">
            <v>BUILDING ROOTS</v>
          </cell>
          <cell r="D343" t="str">
            <v>Steel Fixer</v>
          </cell>
        </row>
        <row r="344">
          <cell r="A344" t="str">
            <v>2536051523</v>
          </cell>
          <cell r="B344" t="str">
            <v>Ali Raza Shakir</v>
          </cell>
          <cell r="C344" t="str">
            <v>SAUDI BAUER</v>
          </cell>
          <cell r="D344" t="str">
            <v>Flagman</v>
          </cell>
        </row>
        <row r="345">
          <cell r="A345" t="str">
            <v>2596907129</v>
          </cell>
          <cell r="B345" t="str">
            <v>Ali Razaq</v>
          </cell>
          <cell r="C345" t="str">
            <v>SAUDI BAUER</v>
          </cell>
          <cell r="D345" t="str">
            <v>Helper</v>
          </cell>
        </row>
        <row r="346">
          <cell r="A346" t="str">
            <v>2536578095</v>
          </cell>
          <cell r="B346" t="str">
            <v>Ali Saleem</v>
          </cell>
          <cell r="C346" t="str">
            <v>JV (BBI-AGC)</v>
          </cell>
          <cell r="D346" t="str">
            <v>Skid Loader Operator</v>
          </cell>
        </row>
        <row r="347">
          <cell r="A347" t="str">
            <v>2304219658</v>
          </cell>
          <cell r="B347" t="str">
            <v>Ali Saleh</v>
          </cell>
          <cell r="C347" t="str">
            <v>AL AZANI</v>
          </cell>
          <cell r="D347" t="str">
            <v>Mobile Crane Operator</v>
          </cell>
        </row>
        <row r="348">
          <cell r="A348" t="str">
            <v>2582919391</v>
          </cell>
          <cell r="B348" t="str">
            <v>Ali Saleh</v>
          </cell>
          <cell r="C348" t="str">
            <v>ELITE HEART</v>
          </cell>
          <cell r="D348" t="str">
            <v>Labour</v>
          </cell>
        </row>
        <row r="349">
          <cell r="A349" t="str">
            <v>2502485374</v>
          </cell>
          <cell r="B349" t="str">
            <v>Ali Saleh Ali</v>
          </cell>
          <cell r="C349" t="str">
            <v>AL FAL HOUSE</v>
          </cell>
          <cell r="D349" t="str">
            <v>Labour</v>
          </cell>
        </row>
        <row r="350">
          <cell r="A350" t="str">
            <v>2657994389</v>
          </cell>
          <cell r="B350" t="str">
            <v>Ali Subhan</v>
          </cell>
          <cell r="C350" t="str">
            <v>NFT</v>
          </cell>
          <cell r="D350" t="str">
            <v>Steel Fixer</v>
          </cell>
        </row>
        <row r="351">
          <cell r="A351" t="str">
            <v>2407237557</v>
          </cell>
          <cell r="B351" t="str">
            <v>Ali Youness</v>
          </cell>
          <cell r="C351" t="str">
            <v>ALMABANI CONT.</v>
          </cell>
          <cell r="D351" t="str">
            <v>Foreman</v>
          </cell>
        </row>
        <row r="352">
          <cell r="A352" t="str">
            <v>2632303968</v>
          </cell>
          <cell r="B352" t="str">
            <v>Ali hawder</v>
          </cell>
          <cell r="C352" t="str">
            <v>BUILDING ROOTS</v>
          </cell>
          <cell r="D352" t="str">
            <v>Steel Fixer</v>
          </cell>
        </row>
        <row r="353">
          <cell r="A353" t="str">
            <v>2636178747</v>
          </cell>
          <cell r="B353" t="str">
            <v>Ali hossan</v>
          </cell>
          <cell r="C353" t="str">
            <v>BUILDING ROOTS</v>
          </cell>
          <cell r="D353" t="str">
            <v>Steel Fixer</v>
          </cell>
        </row>
        <row r="354">
          <cell r="A354" t="str">
            <v>2229189405</v>
          </cell>
          <cell r="B354" t="str">
            <v>Ali mohammed</v>
          </cell>
          <cell r="C354" t="str">
            <v>BUILDING ROOTS</v>
          </cell>
          <cell r="D354" t="str">
            <v>foreman</v>
          </cell>
        </row>
        <row r="355">
          <cell r="A355" t="str">
            <v>2434374316</v>
          </cell>
          <cell r="B355" t="str">
            <v>Ali raza</v>
          </cell>
          <cell r="C355" t="str">
            <v>BUILDING ROOTS</v>
          </cell>
          <cell r="D355" t="str">
            <v>Carpenter</v>
          </cell>
        </row>
        <row r="356">
          <cell r="A356" t="str">
            <v>2545906253</v>
          </cell>
          <cell r="B356" t="str">
            <v>Ali salem</v>
          </cell>
          <cell r="C356" t="str">
            <v>BUILDING ROOTS</v>
          </cell>
          <cell r="D356" t="str">
            <v>Boom Truck Operator</v>
          </cell>
        </row>
        <row r="357">
          <cell r="A357" t="str">
            <v>2605884176</v>
          </cell>
          <cell r="B357" t="str">
            <v>Ali shan</v>
          </cell>
          <cell r="C357" t="str">
            <v>BUILDING ROOTS</v>
          </cell>
          <cell r="D357" t="str">
            <v>Steel Fixer</v>
          </cell>
        </row>
        <row r="358">
          <cell r="A358" t="str">
            <v>2542246349</v>
          </cell>
          <cell r="B358" t="str">
            <v>Alie Raza</v>
          </cell>
          <cell r="C358" t="str">
            <v>TAMIMI</v>
          </cell>
          <cell r="D358" t="str">
            <v>Electrician</v>
          </cell>
        </row>
        <row r="359">
          <cell r="A359" t="str">
            <v>1113150609</v>
          </cell>
          <cell r="B359" t="str">
            <v>Alkhaldi Umar</v>
          </cell>
          <cell r="C359" t="str">
            <v>UNITED</v>
          </cell>
          <cell r="D359" t="str">
            <v>Site Engineer</v>
          </cell>
        </row>
        <row r="360">
          <cell r="A360" t="str">
            <v>2594200582</v>
          </cell>
          <cell r="B360" t="str">
            <v>Almas Ali</v>
          </cell>
          <cell r="C360" t="str">
            <v>BUILDING ROOTS</v>
          </cell>
          <cell r="D360" t="str">
            <v>Steel Fixer</v>
          </cell>
        </row>
        <row r="361">
          <cell r="A361" t="str">
            <v>2618812057</v>
          </cell>
          <cell r="B361" t="str">
            <v>Almash</v>
          </cell>
          <cell r="C361" t="str">
            <v>BUILDING ROOTS</v>
          </cell>
          <cell r="D361" t="str">
            <v>Steel Fixer</v>
          </cell>
        </row>
        <row r="362">
          <cell r="A362" t="str">
            <v>2541299307</v>
          </cell>
          <cell r="B362" t="str">
            <v>Aloberdiyen Naryman</v>
          </cell>
          <cell r="C362" t="str">
            <v>BOUYGUES CONST.</v>
          </cell>
          <cell r="D362" t="str">
            <v>Cad Operator</v>
          </cell>
        </row>
        <row r="363">
          <cell r="A363" t="str">
            <v>2006152587</v>
          </cell>
          <cell r="B363" t="str">
            <v>Alothman Mustafa</v>
          </cell>
          <cell r="C363" t="str">
            <v>BUILDING ROOTS</v>
          </cell>
          <cell r="D363" t="str">
            <v>Engineer</v>
          </cell>
        </row>
        <row r="364">
          <cell r="A364" t="str">
            <v>2622360457</v>
          </cell>
          <cell r="B364" t="str">
            <v>Altaf Hussain</v>
          </cell>
          <cell r="C364" t="str">
            <v>BUILDING ROOTS</v>
          </cell>
          <cell r="D364" t="str">
            <v>Carpenter</v>
          </cell>
        </row>
        <row r="365">
          <cell r="A365" t="str">
            <v>2597954581</v>
          </cell>
          <cell r="B365" t="str">
            <v>Aly Elsayed</v>
          </cell>
          <cell r="C365" t="str">
            <v>UNIBETON</v>
          </cell>
          <cell r="D365" t="str">
            <v>Foreman</v>
          </cell>
        </row>
        <row r="366">
          <cell r="A366" t="str">
            <v>2260327768</v>
          </cell>
          <cell r="B366" t="str">
            <v>Aly Elshahet</v>
          </cell>
          <cell r="C366" t="str">
            <v>APPLUS ARABIA</v>
          </cell>
          <cell r="D366" t="str">
            <v>Mechanic</v>
          </cell>
        </row>
        <row r="367">
          <cell r="A367" t="str">
            <v>1112935737</v>
          </cell>
          <cell r="B367" t="str">
            <v>Alyabis Faisal</v>
          </cell>
          <cell r="C367" t="str">
            <v>BOUYGUES CONST.</v>
          </cell>
          <cell r="D367" t="str">
            <v>Cost Controller</v>
          </cell>
        </row>
        <row r="368">
          <cell r="A368" t="str">
            <v>2535074989</v>
          </cell>
          <cell r="B368" t="str">
            <v>Aman Uddin</v>
          </cell>
          <cell r="C368" t="str">
            <v>ELITE HEART</v>
          </cell>
          <cell r="D368" t="str">
            <v>Carpenter</v>
          </cell>
        </row>
        <row r="369">
          <cell r="A369" t="str">
            <v>2605729963</v>
          </cell>
          <cell r="B369" t="str">
            <v>Aman Ullah</v>
          </cell>
          <cell r="C369" t="str">
            <v>BUILDING ROOTS</v>
          </cell>
          <cell r="D369" t="str">
            <v>Steel Fixer</v>
          </cell>
        </row>
        <row r="370">
          <cell r="A370" t="str">
            <v>2628522290</v>
          </cell>
          <cell r="B370" t="str">
            <v>Aman Ullah</v>
          </cell>
          <cell r="C370" t="str">
            <v>BUILDING ROOTS</v>
          </cell>
          <cell r="D370" t="str">
            <v>Carpenter</v>
          </cell>
        </row>
        <row r="371">
          <cell r="A371" t="str">
            <v>2536022524</v>
          </cell>
          <cell r="B371" t="str">
            <v>Amanullah</v>
          </cell>
          <cell r="C371" t="str">
            <v>SAUDI BAUER</v>
          </cell>
          <cell r="D371" t="str">
            <v>Crane Operator</v>
          </cell>
        </row>
        <row r="372">
          <cell r="A372" t="str">
            <v>2540819360</v>
          </cell>
          <cell r="B372" t="str">
            <v>Amanullah</v>
          </cell>
          <cell r="C372" t="str">
            <v>GLOBAL CASTLES</v>
          </cell>
          <cell r="D372" t="str">
            <v>Carpenter</v>
          </cell>
        </row>
        <row r="373">
          <cell r="A373" t="str">
            <v>2552635274</v>
          </cell>
          <cell r="B373" t="str">
            <v>Ameen Mohammed</v>
          </cell>
          <cell r="C373" t="str">
            <v>BUILDING ROOTS</v>
          </cell>
          <cell r="D373" t="str">
            <v>Carpenter</v>
          </cell>
        </row>
        <row r="374">
          <cell r="A374" t="str">
            <v>2550318290</v>
          </cell>
          <cell r="B374" t="str">
            <v>Ameen mahtab</v>
          </cell>
          <cell r="C374" t="str">
            <v>BUILDING ROOTS</v>
          </cell>
          <cell r="D374" t="str">
            <v>Carpenter</v>
          </cell>
        </row>
        <row r="375">
          <cell r="A375" t="str">
            <v>2612666723</v>
          </cell>
          <cell r="B375" t="str">
            <v>Ameer Khan</v>
          </cell>
          <cell r="C375" t="str">
            <v>BUILDING ROOTS</v>
          </cell>
          <cell r="D375" t="str">
            <v>Carpenter</v>
          </cell>
        </row>
        <row r="376">
          <cell r="A376" t="str">
            <v>2622541213</v>
          </cell>
          <cell r="B376" t="str">
            <v>Ameer Muhammad</v>
          </cell>
          <cell r="C376" t="str">
            <v>BUILDING ROOTS</v>
          </cell>
          <cell r="D376" t="str">
            <v>Carpenter</v>
          </cell>
        </row>
        <row r="377">
          <cell r="A377" t="str">
            <v>2327061228</v>
          </cell>
          <cell r="B377" t="str">
            <v>Ameer Nawaz</v>
          </cell>
          <cell r="C377" t="str">
            <v>BUILDING ROOTS</v>
          </cell>
          <cell r="D377" t="str">
            <v>Carpenter</v>
          </cell>
        </row>
        <row r="378">
          <cell r="A378" t="str">
            <v>2303046605</v>
          </cell>
          <cell r="B378" t="str">
            <v>Amer hammad</v>
          </cell>
          <cell r="C378" t="str">
            <v>Qiddiya</v>
          </cell>
          <cell r="D378" t="str">
            <v>Commercial director</v>
          </cell>
        </row>
        <row r="379">
          <cell r="A379" t="str">
            <v>2539477956</v>
          </cell>
          <cell r="B379" t="str">
            <v>Amin</v>
          </cell>
          <cell r="C379" t="str">
            <v>AALICO</v>
          </cell>
          <cell r="D379" t="str">
            <v>Irrigation Engineer</v>
          </cell>
        </row>
        <row r="380">
          <cell r="A380" t="str">
            <v>2576649178</v>
          </cell>
          <cell r="B380" t="str">
            <v>Amin Shah</v>
          </cell>
          <cell r="C380" t="str">
            <v>BUILDING ROOTS</v>
          </cell>
          <cell r="D380" t="str">
            <v>Helper</v>
          </cell>
        </row>
        <row r="381">
          <cell r="A381" t="str">
            <v>2591806449</v>
          </cell>
          <cell r="B381" t="str">
            <v>Amin Ullah</v>
          </cell>
          <cell r="C381" t="str">
            <v>GULF MARK</v>
          </cell>
          <cell r="D381" t="str">
            <v>Labour</v>
          </cell>
        </row>
        <row r="382">
          <cell r="A382" t="str">
            <v>2509422776</v>
          </cell>
          <cell r="B382" t="str">
            <v>Amin Zada</v>
          </cell>
          <cell r="C382" t="str">
            <v>AL FAL HOUSE</v>
          </cell>
          <cell r="D382" t="str">
            <v>Labour</v>
          </cell>
        </row>
        <row r="383">
          <cell r="A383" t="str">
            <v>2319067118</v>
          </cell>
          <cell r="B383" t="str">
            <v>Amin ullah</v>
          </cell>
          <cell r="C383" t="str">
            <v>BUILDING ROOTS</v>
          </cell>
          <cell r="D383" t="str">
            <v>foreman</v>
          </cell>
        </row>
        <row r="384">
          <cell r="A384" t="str">
            <v>242220146</v>
          </cell>
          <cell r="B384" t="str">
            <v>Amir</v>
          </cell>
          <cell r="C384" t="str">
            <v>TAMIMI</v>
          </cell>
          <cell r="D384" t="str">
            <v>Painter</v>
          </cell>
        </row>
        <row r="385">
          <cell r="A385" t="str">
            <v>2583562653</v>
          </cell>
          <cell r="B385" t="str">
            <v>Amir</v>
          </cell>
          <cell r="C385" t="str">
            <v>SAUDI BAUER</v>
          </cell>
          <cell r="D385" t="str">
            <v>Helper</v>
          </cell>
        </row>
        <row r="386">
          <cell r="A386" t="str">
            <v>2522655840</v>
          </cell>
          <cell r="B386" t="str">
            <v>Amir Abdul</v>
          </cell>
          <cell r="C386" t="str">
            <v>ALMABANI CONT.</v>
          </cell>
          <cell r="D386" t="str">
            <v>Electrician</v>
          </cell>
        </row>
        <row r="387">
          <cell r="A387" t="str">
            <v>2555772280</v>
          </cell>
          <cell r="B387" t="str">
            <v>Amir Abdullah Khan</v>
          </cell>
          <cell r="C387" t="str">
            <v>ELITE HEART</v>
          </cell>
          <cell r="D387" t="str">
            <v>Steel Fixer</v>
          </cell>
        </row>
        <row r="388">
          <cell r="A388" t="str">
            <v>2397099702</v>
          </cell>
          <cell r="B388" t="str">
            <v>Amir Gul</v>
          </cell>
          <cell r="C388" t="str">
            <v>MOBILY</v>
          </cell>
          <cell r="D388" t="str">
            <v>Engineer</v>
          </cell>
        </row>
        <row r="389">
          <cell r="A389" t="str">
            <v>2347359248</v>
          </cell>
          <cell r="B389" t="str">
            <v>Amir Haneef</v>
          </cell>
          <cell r="C389" t="str">
            <v>ELITE HEART</v>
          </cell>
          <cell r="D389" t="str">
            <v>Steel Fixer</v>
          </cell>
        </row>
        <row r="390">
          <cell r="A390" t="str">
            <v>2593577287</v>
          </cell>
          <cell r="B390" t="str">
            <v>Amir Hossain</v>
          </cell>
          <cell r="C390" t="str">
            <v>GLOBAL CASTLES</v>
          </cell>
          <cell r="D390" t="str">
            <v>Steel Fixer</v>
          </cell>
        </row>
        <row r="391">
          <cell r="A391" t="str">
            <v>2546063799</v>
          </cell>
          <cell r="B391" t="str">
            <v>Amir Ishaq</v>
          </cell>
          <cell r="C391" t="str">
            <v>SAUDI BAUER</v>
          </cell>
          <cell r="D391" t="str">
            <v>Qa / Qc</v>
          </cell>
        </row>
        <row r="392">
          <cell r="A392" t="str">
            <v>2621575352</v>
          </cell>
          <cell r="B392" t="str">
            <v>Amir Khan</v>
          </cell>
          <cell r="C392" t="str">
            <v>BUILDING ROOTS</v>
          </cell>
          <cell r="D392" t="str">
            <v>Capenter</v>
          </cell>
        </row>
        <row r="393">
          <cell r="A393" t="str">
            <v>2610274645</v>
          </cell>
          <cell r="B393" t="str">
            <v>Amir Nawaz</v>
          </cell>
          <cell r="C393" t="str">
            <v>MOBILY</v>
          </cell>
          <cell r="D393" t="str">
            <v>Engineer</v>
          </cell>
        </row>
        <row r="394">
          <cell r="A394" t="str">
            <v>2625865098</v>
          </cell>
          <cell r="B394" t="str">
            <v>Amir Nawaz</v>
          </cell>
          <cell r="C394" t="str">
            <v>BUILDING ROOTS</v>
          </cell>
          <cell r="D394" t="str">
            <v>Carpenter</v>
          </cell>
        </row>
        <row r="395">
          <cell r="A395" t="str">
            <v>2620933016</v>
          </cell>
          <cell r="B395" t="str">
            <v>Amir Sohail</v>
          </cell>
          <cell r="C395" t="str">
            <v>ALMABANI CONT.</v>
          </cell>
          <cell r="D395" t="str">
            <v>Steel Fixer</v>
          </cell>
        </row>
        <row r="396">
          <cell r="A396" t="str">
            <v>2621195383</v>
          </cell>
          <cell r="B396" t="str">
            <v>Amir fazal</v>
          </cell>
          <cell r="C396" t="str">
            <v>BUILDING ROOTS</v>
          </cell>
          <cell r="D396" t="str">
            <v>labor</v>
          </cell>
        </row>
        <row r="397">
          <cell r="A397" t="str">
            <v>2583827445</v>
          </cell>
          <cell r="B397" t="str">
            <v>Amir sohail</v>
          </cell>
          <cell r="C397" t="str">
            <v>BUILDING ROOTS</v>
          </cell>
          <cell r="D397" t="str">
            <v>Carpenter</v>
          </cell>
        </row>
        <row r="398">
          <cell r="A398" t="str">
            <v>2628215366</v>
          </cell>
          <cell r="B398" t="str">
            <v>Amjad Ali</v>
          </cell>
          <cell r="C398" t="str">
            <v>ELITE HEART</v>
          </cell>
          <cell r="D398" t="str">
            <v>Scaffolder</v>
          </cell>
        </row>
        <row r="399">
          <cell r="A399" t="str">
            <v>2612284246</v>
          </cell>
          <cell r="B399" t="str">
            <v>Amjad Ali</v>
          </cell>
          <cell r="C399" t="str">
            <v>ELITE HEART</v>
          </cell>
          <cell r="D399" t="str">
            <v>Carpenter</v>
          </cell>
        </row>
        <row r="400">
          <cell r="A400" t="str">
            <v>2522314109</v>
          </cell>
          <cell r="B400" t="str">
            <v>Amjad Ali</v>
          </cell>
          <cell r="C400" t="str">
            <v>ELITE HEART</v>
          </cell>
          <cell r="D400" t="str">
            <v>Carpenter</v>
          </cell>
        </row>
        <row r="401">
          <cell r="A401" t="str">
            <v>2598172001</v>
          </cell>
          <cell r="B401" t="str">
            <v>Amjad Khan</v>
          </cell>
          <cell r="C401" t="str">
            <v>BUILDING ROOTS</v>
          </cell>
          <cell r="D401" t="str">
            <v>Steel Fixer</v>
          </cell>
        </row>
        <row r="402">
          <cell r="A402" t="str">
            <v>2608459893</v>
          </cell>
          <cell r="B402" t="str">
            <v>Amjad khan</v>
          </cell>
          <cell r="C402" t="str">
            <v>ELITE HEART</v>
          </cell>
          <cell r="D402" t="str">
            <v>Scaffolder</v>
          </cell>
        </row>
        <row r="403">
          <cell r="A403" t="str">
            <v>2538376639</v>
          </cell>
          <cell r="B403" t="str">
            <v>Amjid Khan</v>
          </cell>
          <cell r="C403" t="str">
            <v>BUILDING ROOTS</v>
          </cell>
          <cell r="D403" t="str">
            <v>Labour</v>
          </cell>
        </row>
        <row r="404">
          <cell r="A404" t="str">
            <v>2517287583</v>
          </cell>
          <cell r="B404" t="str">
            <v>Ammar Abdo</v>
          </cell>
          <cell r="C404" t="str">
            <v>BUILDING ROOTS</v>
          </cell>
          <cell r="D404" t="str">
            <v>Carpenter</v>
          </cell>
        </row>
        <row r="405">
          <cell r="A405" t="str">
            <v>2276247851</v>
          </cell>
          <cell r="B405" t="str">
            <v>Ammar Abdo</v>
          </cell>
          <cell r="C405" t="str">
            <v>BUILDING ROOTS</v>
          </cell>
          <cell r="D405" t="str">
            <v>Carpenter</v>
          </cell>
        </row>
        <row r="406">
          <cell r="A406" t="str">
            <v>2627499896</v>
          </cell>
          <cell r="B406" t="str">
            <v>Ammar ahmed</v>
          </cell>
          <cell r="C406" t="str">
            <v>BUILDING ROOTS</v>
          </cell>
          <cell r="D406" t="str">
            <v>Steel Fixer</v>
          </cell>
        </row>
        <row r="407">
          <cell r="A407" t="str">
            <v>2382807481</v>
          </cell>
          <cell r="B407" t="str">
            <v>Amr Elshahawy</v>
          </cell>
          <cell r="C407" t="str">
            <v>BUILDING ROOTS</v>
          </cell>
          <cell r="D407" t="str">
            <v>Civil Engineer</v>
          </cell>
        </row>
        <row r="408">
          <cell r="A408" t="str">
            <v>1002293932</v>
          </cell>
          <cell r="B408" t="str">
            <v>Amr mandurah</v>
          </cell>
          <cell r="C408" t="str">
            <v>Qiddiya</v>
          </cell>
          <cell r="D408" t="str">
            <v>marketing</v>
          </cell>
        </row>
        <row r="409">
          <cell r="A409" t="str">
            <v>2517201980</v>
          </cell>
          <cell r="B409" t="str">
            <v>Amr wsn</v>
          </cell>
          <cell r="C409" t="str">
            <v>ANNAQ</v>
          </cell>
          <cell r="D409" t="str">
            <v>foreman</v>
          </cell>
        </row>
        <row r="410">
          <cell r="A410" t="str">
            <v>2515559926</v>
          </cell>
          <cell r="B410" t="str">
            <v>Amran Abdo</v>
          </cell>
          <cell r="C410" t="str">
            <v>BUILDING ROOTS</v>
          </cell>
          <cell r="D410" t="str">
            <v>foreman</v>
          </cell>
        </row>
        <row r="411">
          <cell r="A411" t="str">
            <v>2485125252</v>
          </cell>
          <cell r="B411" t="str">
            <v>Amro Muhammad Albin</v>
          </cell>
          <cell r="C411" t="str">
            <v>ELITE HEART</v>
          </cell>
          <cell r="D411" t="str">
            <v>Driver</v>
          </cell>
        </row>
        <row r="412">
          <cell r="A412" t="str">
            <v>2439739398</v>
          </cell>
          <cell r="B412" t="str">
            <v>Anacleto</v>
          </cell>
          <cell r="C412" t="str">
            <v>ALMABANI CONT.</v>
          </cell>
          <cell r="D412" t="str">
            <v>Steel Fixer</v>
          </cell>
        </row>
        <row r="413">
          <cell r="A413" t="str">
            <v>2562361929</v>
          </cell>
          <cell r="B413" t="str">
            <v>Anamul</v>
          </cell>
          <cell r="C413" t="str">
            <v>EURO TENT</v>
          </cell>
          <cell r="D413" t="str">
            <v>Foreman</v>
          </cell>
        </row>
        <row r="414">
          <cell r="A414" t="str">
            <v>2622170757</v>
          </cell>
          <cell r="B414" t="str">
            <v>Anas Hameed</v>
          </cell>
          <cell r="C414" t="str">
            <v>GLOBAL CASTLES</v>
          </cell>
          <cell r="D414" t="str">
            <v>Document Controller</v>
          </cell>
        </row>
        <row r="415">
          <cell r="A415" t="str">
            <v>2525712671</v>
          </cell>
          <cell r="B415" t="str">
            <v>Andil Rahim</v>
          </cell>
          <cell r="C415" t="str">
            <v>GLOBAL CASTLES</v>
          </cell>
          <cell r="D415" t="str">
            <v>Carpenter</v>
          </cell>
        </row>
        <row r="416">
          <cell r="A416" t="str">
            <v>124098859</v>
          </cell>
          <cell r="B416" t="str">
            <v>Andy Kershaw</v>
          </cell>
          <cell r="C416" t="str">
            <v>POPULOUS</v>
          </cell>
          <cell r="D416" t="str">
            <v>Architect</v>
          </cell>
        </row>
        <row r="417">
          <cell r="A417" t="str">
            <v>2628109270</v>
          </cell>
          <cell r="B417" t="str">
            <v>Anees</v>
          </cell>
          <cell r="C417" t="str">
            <v>GLOBAL CASTLES</v>
          </cell>
          <cell r="D417" t="str">
            <v>Rigger</v>
          </cell>
        </row>
        <row r="418">
          <cell r="A418" t="str">
            <v>2565764558</v>
          </cell>
          <cell r="B418" t="str">
            <v>Anees Ur Rehman</v>
          </cell>
          <cell r="C418" t="str">
            <v>JV (BBI-AGC)</v>
          </cell>
          <cell r="D418" t="str">
            <v>Rigger</v>
          </cell>
        </row>
        <row r="419">
          <cell r="A419" t="str">
            <v>2358686943</v>
          </cell>
          <cell r="B419" t="str">
            <v>Anes Haider</v>
          </cell>
          <cell r="C419" t="str">
            <v>TAMIMI</v>
          </cell>
          <cell r="D419" t="str">
            <v>Carpenter</v>
          </cell>
        </row>
        <row r="420">
          <cell r="A420" t="str">
            <v>2606791418</v>
          </cell>
          <cell r="B420" t="str">
            <v>Anik</v>
          </cell>
          <cell r="C420" t="str">
            <v>ELITE HEART</v>
          </cell>
          <cell r="D420" t="str">
            <v>Helper</v>
          </cell>
        </row>
        <row r="421">
          <cell r="A421" t="str">
            <v>2558620551</v>
          </cell>
          <cell r="B421" t="str">
            <v>Anish</v>
          </cell>
          <cell r="C421" t="str">
            <v>NFT</v>
          </cell>
          <cell r="D421" t="str">
            <v>Electrician</v>
          </cell>
        </row>
        <row r="422">
          <cell r="A422" t="str">
            <v>2569779374</v>
          </cell>
          <cell r="B422" t="str">
            <v>Annanuroy</v>
          </cell>
          <cell r="C422" t="str">
            <v>JV (BBI-AGC)</v>
          </cell>
          <cell r="D422" t="str">
            <v>Supervisor</v>
          </cell>
        </row>
        <row r="423">
          <cell r="A423" t="str">
            <v>2574275612</v>
          </cell>
          <cell r="B423" t="str">
            <v>Anoop Jose</v>
          </cell>
          <cell r="C423" t="str">
            <v>ALMABANI CONT.</v>
          </cell>
          <cell r="D423" t="str">
            <v>Qa / Qc Engineer</v>
          </cell>
        </row>
        <row r="424">
          <cell r="A424" t="str">
            <v>2396482388</v>
          </cell>
          <cell r="B424" t="str">
            <v>Ansar Iqbal</v>
          </cell>
          <cell r="C424" t="str">
            <v>BUILDING ROOTS</v>
          </cell>
          <cell r="D424" t="str">
            <v>Steel Fixer</v>
          </cell>
        </row>
        <row r="425">
          <cell r="A425" t="str">
            <v>2633161423</v>
          </cell>
          <cell r="B425" t="str">
            <v>Ansar molla</v>
          </cell>
          <cell r="C425" t="str">
            <v>ANNAQ</v>
          </cell>
          <cell r="D425" t="str">
            <v>Helper</v>
          </cell>
        </row>
        <row r="426">
          <cell r="A426" t="str">
            <v>2602276368</v>
          </cell>
          <cell r="B426" t="str">
            <v>Ansiur</v>
          </cell>
          <cell r="C426" t="str">
            <v>GLOBAL CASTLES</v>
          </cell>
          <cell r="D426" t="str">
            <v>Labour</v>
          </cell>
        </row>
        <row r="427">
          <cell r="A427" t="str">
            <v>2578331528</v>
          </cell>
          <cell r="B427" t="str">
            <v>Ansur</v>
          </cell>
          <cell r="C427" t="str">
            <v>ELITE HEART</v>
          </cell>
          <cell r="D427" t="str">
            <v>Scaffolder</v>
          </cell>
        </row>
        <row r="428">
          <cell r="A428" t="str">
            <v>2538165578</v>
          </cell>
          <cell r="B428" t="str">
            <v>Antas Khan</v>
          </cell>
          <cell r="C428" t="str">
            <v>SAUDI BAUER</v>
          </cell>
          <cell r="D428" t="str">
            <v>Steel Fixer</v>
          </cell>
        </row>
        <row r="429">
          <cell r="A429" t="str">
            <v>2576402610</v>
          </cell>
          <cell r="B429" t="str">
            <v>Antoine Yaghmour</v>
          </cell>
          <cell r="C429" t="str">
            <v>ALMABANI CONT.</v>
          </cell>
          <cell r="D429" t="str">
            <v>Area Manager</v>
          </cell>
        </row>
        <row r="430">
          <cell r="A430" t="str">
            <v>2526723957</v>
          </cell>
          <cell r="B430" t="str">
            <v>Anwar</v>
          </cell>
          <cell r="C430" t="str">
            <v>BUILDING ROOTS</v>
          </cell>
          <cell r="D430" t="str">
            <v>Labour</v>
          </cell>
        </row>
        <row r="431">
          <cell r="A431" t="str">
            <v>2556325195</v>
          </cell>
          <cell r="B431" t="str">
            <v>Anwar</v>
          </cell>
          <cell r="C431" t="str">
            <v>BUILDING ROOTS</v>
          </cell>
          <cell r="D431" t="str">
            <v>Driver</v>
          </cell>
        </row>
        <row r="432">
          <cell r="A432" t="str">
            <v>2607373350</v>
          </cell>
          <cell r="B432" t="str">
            <v>Anwar</v>
          </cell>
          <cell r="C432" t="str">
            <v>GLOBAL CASTLES</v>
          </cell>
          <cell r="D432" t="str">
            <v>Foreman Carpenter</v>
          </cell>
        </row>
        <row r="433">
          <cell r="A433" t="str">
            <v>2566515348</v>
          </cell>
          <cell r="B433" t="str">
            <v>Anwar</v>
          </cell>
          <cell r="C433" t="str">
            <v>UNITED GULF</v>
          </cell>
          <cell r="D433" t="str">
            <v>Welder</v>
          </cell>
        </row>
        <row r="434">
          <cell r="A434" t="str">
            <v>26171898750</v>
          </cell>
          <cell r="B434" t="str">
            <v>Anwar</v>
          </cell>
          <cell r="C434" t="str">
            <v>GLOBAL CASTLE</v>
          </cell>
          <cell r="D434" t="str">
            <v>Carpenter</v>
          </cell>
        </row>
        <row r="435">
          <cell r="A435" t="str">
            <v>2523226997</v>
          </cell>
          <cell r="B435" t="str">
            <v>Anwar Ali</v>
          </cell>
          <cell r="C435" t="str">
            <v>ALMABANI CONT.</v>
          </cell>
          <cell r="D435" t="str">
            <v>Plumber</v>
          </cell>
        </row>
        <row r="436">
          <cell r="A436" t="str">
            <v>2327193310</v>
          </cell>
          <cell r="B436" t="str">
            <v>Anwar Ali</v>
          </cell>
          <cell r="C436" t="str">
            <v>ELITE HEART</v>
          </cell>
          <cell r="D436" t="str">
            <v>Helper</v>
          </cell>
        </row>
        <row r="437">
          <cell r="A437" t="str">
            <v>2560092864</v>
          </cell>
          <cell r="B437" t="str">
            <v>Anwar Ali Khan</v>
          </cell>
          <cell r="C437" t="str">
            <v>BUILDING ROOTS</v>
          </cell>
          <cell r="D437" t="str">
            <v>Labour</v>
          </cell>
        </row>
        <row r="438">
          <cell r="A438" t="str">
            <v>2612053740</v>
          </cell>
          <cell r="B438" t="str">
            <v>Anwar Ullah</v>
          </cell>
          <cell r="C438" t="str">
            <v>BUILDING ROOTS</v>
          </cell>
          <cell r="D438" t="str">
            <v>Steel Fixer</v>
          </cell>
        </row>
        <row r="439">
          <cell r="A439" t="str">
            <v>2577028430</v>
          </cell>
          <cell r="B439" t="str">
            <v>Anwar Zeb</v>
          </cell>
          <cell r="C439" t="str">
            <v>JV (BBI-AGC)</v>
          </cell>
          <cell r="D439" t="str">
            <v>Surveyor</v>
          </cell>
        </row>
        <row r="440">
          <cell r="A440" t="str">
            <v>2591926593</v>
          </cell>
          <cell r="B440" t="str">
            <v>Aqeel</v>
          </cell>
          <cell r="C440" t="str">
            <v>BUILDING ROOTS</v>
          </cell>
          <cell r="D440" t="str">
            <v>Steel Fixer</v>
          </cell>
        </row>
        <row r="441">
          <cell r="A441" t="str">
            <v>2527614834</v>
          </cell>
          <cell r="B441" t="str">
            <v>Aqeel Asif</v>
          </cell>
          <cell r="C441" t="str">
            <v>ALMABANI CONT.</v>
          </cell>
          <cell r="D441" t="str">
            <v>Gypsum Carpenter</v>
          </cell>
        </row>
        <row r="442">
          <cell r="A442" t="str">
            <v>2611515970</v>
          </cell>
          <cell r="B442" t="str">
            <v>Aqeel Munir</v>
          </cell>
          <cell r="C442" t="str">
            <v>VEOLIA</v>
          </cell>
          <cell r="D442" t="str">
            <v>-</v>
          </cell>
        </row>
        <row r="443">
          <cell r="A443" t="str">
            <v>2618689732</v>
          </cell>
          <cell r="B443" t="str">
            <v>Arafat</v>
          </cell>
          <cell r="C443" t="str">
            <v>ELITE HEART</v>
          </cell>
          <cell r="D443" t="str">
            <v>Labour</v>
          </cell>
        </row>
        <row r="444">
          <cell r="A444" t="str">
            <v>2597221429</v>
          </cell>
          <cell r="B444" t="str">
            <v>Arbaz Ali</v>
          </cell>
          <cell r="C444" t="str">
            <v>BUILDING ROOTS</v>
          </cell>
          <cell r="D444" t="str">
            <v>Steel Fixer</v>
          </cell>
        </row>
        <row r="445">
          <cell r="A445" t="str">
            <v>2628788503</v>
          </cell>
          <cell r="B445" t="str">
            <v>Arbaz Khan</v>
          </cell>
          <cell r="C445" t="str">
            <v>ALMABANI CONT.</v>
          </cell>
          <cell r="D445" t="str">
            <v>Qc Engineer</v>
          </cell>
        </row>
        <row r="446">
          <cell r="A446" t="str">
            <v>2536103506</v>
          </cell>
          <cell r="B446" t="str">
            <v>Arfan</v>
          </cell>
          <cell r="C446" t="str">
            <v>RED CAMEL</v>
          </cell>
          <cell r="D446" t="str">
            <v>Coordinator</v>
          </cell>
        </row>
        <row r="447">
          <cell r="A447" t="str">
            <v>2632819047</v>
          </cell>
          <cell r="B447" t="str">
            <v>Arif</v>
          </cell>
          <cell r="C447" t="str">
            <v>ANNAQ</v>
          </cell>
          <cell r="D447" t="str">
            <v>Labor</v>
          </cell>
        </row>
        <row r="448">
          <cell r="A448" t="str">
            <v>2632345266</v>
          </cell>
          <cell r="B448" t="str">
            <v>Arif</v>
          </cell>
          <cell r="C448" t="str">
            <v>UNITED GULF</v>
          </cell>
          <cell r="D448" t="str">
            <v>Driver</v>
          </cell>
        </row>
        <row r="449">
          <cell r="A449" t="str">
            <v>2571263397</v>
          </cell>
          <cell r="B449" t="str">
            <v>Arif Abdul</v>
          </cell>
          <cell r="C449" t="str">
            <v>GLOBAL CASTLES</v>
          </cell>
          <cell r="D449" t="str">
            <v>Welder</v>
          </cell>
        </row>
        <row r="450">
          <cell r="A450" t="str">
            <v>2630609322</v>
          </cell>
          <cell r="B450" t="str">
            <v>Arif Mia</v>
          </cell>
          <cell r="C450" t="str">
            <v>GLOBAL CASTLE</v>
          </cell>
          <cell r="D450" t="str">
            <v>Electrician</v>
          </cell>
        </row>
        <row r="451">
          <cell r="A451" t="str">
            <v>2253938431</v>
          </cell>
          <cell r="B451" t="str">
            <v>Arif ali</v>
          </cell>
          <cell r="C451" t="str">
            <v>BUILDING ROOTS</v>
          </cell>
          <cell r="D451" t="str">
            <v>Labor</v>
          </cell>
        </row>
        <row r="452">
          <cell r="A452" t="str">
            <v>2590982001</v>
          </cell>
          <cell r="B452" t="str">
            <v>Ariful Ayub</v>
          </cell>
          <cell r="C452" t="str">
            <v>BUILDING ROOTS</v>
          </cell>
          <cell r="D452" t="str">
            <v>Scaffolder</v>
          </cell>
        </row>
        <row r="453">
          <cell r="A453" t="str">
            <v>2536369186</v>
          </cell>
          <cell r="B453" t="str">
            <v>Arish</v>
          </cell>
          <cell r="C453" t="str">
            <v>UNITED GULF</v>
          </cell>
          <cell r="D453" t="str">
            <v>Electrician</v>
          </cell>
        </row>
        <row r="454">
          <cell r="A454" t="str">
            <v>2584155838</v>
          </cell>
          <cell r="B454" t="str">
            <v>Ariz mia</v>
          </cell>
          <cell r="C454" t="str">
            <v>GLOBAL CASTLE</v>
          </cell>
          <cell r="D454" t="str">
            <v>Scaffolder</v>
          </cell>
        </row>
        <row r="455">
          <cell r="A455" t="str">
            <v>2511225688</v>
          </cell>
          <cell r="B455" t="str">
            <v>Arjun Chaudhary</v>
          </cell>
          <cell r="C455" t="str">
            <v>EURO TENT</v>
          </cell>
          <cell r="D455" t="str">
            <v>Labour</v>
          </cell>
        </row>
        <row r="456">
          <cell r="A456" t="str">
            <v>2537507986</v>
          </cell>
          <cell r="B456" t="str">
            <v>Arjun Kapur</v>
          </cell>
          <cell r="C456" t="str">
            <v>ALMABANI CONT.</v>
          </cell>
          <cell r="D456" t="str">
            <v>Painter</v>
          </cell>
        </row>
        <row r="457">
          <cell r="A457" t="str">
            <v>2293190878</v>
          </cell>
          <cell r="B457" t="str">
            <v>Arjun Kumar</v>
          </cell>
          <cell r="C457" t="str">
            <v>TAMIMI</v>
          </cell>
          <cell r="D457" t="str">
            <v>A/C Tech</v>
          </cell>
        </row>
        <row r="458">
          <cell r="A458" t="str">
            <v>2507862775</v>
          </cell>
          <cell r="B458" t="str">
            <v>Arman ali</v>
          </cell>
          <cell r="C458" t="str">
            <v>UNITED GULF</v>
          </cell>
          <cell r="D458" t="str">
            <v>Labor</v>
          </cell>
        </row>
        <row r="459">
          <cell r="A459" t="str">
            <v>2552112563</v>
          </cell>
          <cell r="B459" t="str">
            <v>Arsalan Niyazov</v>
          </cell>
          <cell r="C459" t="str">
            <v>BOUYGUES CONST.</v>
          </cell>
          <cell r="D459" t="str">
            <v>Area Envelop Manager</v>
          </cell>
        </row>
        <row r="460">
          <cell r="A460" t="str">
            <v>2561233848</v>
          </cell>
          <cell r="B460" t="str">
            <v>Arshad</v>
          </cell>
          <cell r="C460" t="str">
            <v>BUILDING ROOTS</v>
          </cell>
          <cell r="D460" t="str">
            <v>Surveyor Engineer</v>
          </cell>
        </row>
        <row r="461">
          <cell r="A461" t="str">
            <v>2596458618</v>
          </cell>
          <cell r="B461" t="str">
            <v>Arshad</v>
          </cell>
          <cell r="C461" t="str">
            <v>BUILDING ROOTS</v>
          </cell>
          <cell r="D461" t="str">
            <v>Steel Fixer</v>
          </cell>
        </row>
        <row r="462">
          <cell r="A462" t="str">
            <v>2602616225</v>
          </cell>
          <cell r="B462" t="str">
            <v>Arshad Ali</v>
          </cell>
          <cell r="C462" t="str">
            <v>ELITE HEART</v>
          </cell>
          <cell r="D462" t="str">
            <v>Labour</v>
          </cell>
        </row>
        <row r="463">
          <cell r="A463" t="str">
            <v>2559245044</v>
          </cell>
          <cell r="B463" t="str">
            <v>Arshad Mehmood</v>
          </cell>
          <cell r="C463" t="str">
            <v>BUILDING ROOTS</v>
          </cell>
          <cell r="D463" t="str">
            <v>Labour</v>
          </cell>
        </row>
        <row r="464">
          <cell r="A464" t="str">
            <v>2366301865</v>
          </cell>
          <cell r="B464" t="str">
            <v>Arshid</v>
          </cell>
          <cell r="C464" t="str">
            <v>BUILDING ROOTS</v>
          </cell>
          <cell r="D464" t="str">
            <v>Surveyor</v>
          </cell>
        </row>
        <row r="465">
          <cell r="A465" t="str">
            <v>2581632045</v>
          </cell>
          <cell r="B465" t="str">
            <v>Arslan Khan</v>
          </cell>
          <cell r="C465" t="str">
            <v>ELITE HEART</v>
          </cell>
          <cell r="D465" t="str">
            <v>Operator Labour</v>
          </cell>
        </row>
        <row r="466">
          <cell r="A466" t="str">
            <v>2390466916</v>
          </cell>
          <cell r="B466" t="str">
            <v>Arun Narayanan</v>
          </cell>
          <cell r="C466" t="str">
            <v>JV (BBI-AGC)</v>
          </cell>
          <cell r="D466" t="str">
            <v>Qa / Qc Engineer</v>
          </cell>
        </row>
        <row r="467">
          <cell r="A467" t="str">
            <v>1087411078</v>
          </cell>
          <cell r="B467" t="str">
            <v>Asaad al saadoun</v>
          </cell>
          <cell r="C467" t="str">
            <v>AALICO</v>
          </cell>
          <cell r="D467" t="str">
            <v>Procurement specialist</v>
          </cell>
        </row>
        <row r="468">
          <cell r="A468" t="str">
            <v>2520288958</v>
          </cell>
          <cell r="B468" t="str">
            <v>Asab Uddin</v>
          </cell>
          <cell r="C468" t="str">
            <v>BUILDING ROOTS</v>
          </cell>
          <cell r="D468" t="str">
            <v>Carpenter</v>
          </cell>
        </row>
        <row r="469">
          <cell r="A469" t="str">
            <v>2612287025</v>
          </cell>
          <cell r="B469" t="str">
            <v>Asad</v>
          </cell>
          <cell r="C469" t="str">
            <v>BUILDING ROOTS</v>
          </cell>
          <cell r="D469" t="str">
            <v>Steel Fixer</v>
          </cell>
        </row>
        <row r="470">
          <cell r="A470" t="str">
            <v>2540727076</v>
          </cell>
          <cell r="B470" t="str">
            <v>Asad Ali</v>
          </cell>
          <cell r="C470" t="str">
            <v>ELITE HEART</v>
          </cell>
          <cell r="D470" t="str">
            <v>Scaffolder</v>
          </cell>
        </row>
        <row r="471">
          <cell r="A471" t="str">
            <v>2599891617</v>
          </cell>
          <cell r="B471" t="str">
            <v>Asad Ali</v>
          </cell>
          <cell r="C471" t="str">
            <v>BUILDING ROOTS</v>
          </cell>
          <cell r="D471" t="str">
            <v>Labour</v>
          </cell>
        </row>
        <row r="472">
          <cell r="A472" t="str">
            <v>2557653967</v>
          </cell>
          <cell r="B472" t="str">
            <v>Asad Hassan Khan</v>
          </cell>
          <cell r="C472" t="str">
            <v>GLOBAL CASTLES</v>
          </cell>
          <cell r="D472" t="str">
            <v>Lifting Supervisor</v>
          </cell>
        </row>
        <row r="473">
          <cell r="A473" t="str">
            <v>2543773549</v>
          </cell>
          <cell r="B473" t="str">
            <v>Asad Khalil Khan</v>
          </cell>
          <cell r="C473" t="str">
            <v>TAMIMI</v>
          </cell>
          <cell r="D473" t="str">
            <v>Helper</v>
          </cell>
        </row>
        <row r="474">
          <cell r="A474" t="str">
            <v>2612652533</v>
          </cell>
          <cell r="B474" t="str">
            <v>Asad Muhammad</v>
          </cell>
          <cell r="C474" t="str">
            <v>BUILDING ROOTS</v>
          </cell>
          <cell r="D474" t="str">
            <v>Steel Fixer</v>
          </cell>
        </row>
        <row r="475">
          <cell r="A475" t="str">
            <v>2276251994</v>
          </cell>
          <cell r="B475" t="str">
            <v>Asad Ullah</v>
          </cell>
          <cell r="C475" t="str">
            <v>ELITE HEART</v>
          </cell>
          <cell r="D475" t="str">
            <v>Labour</v>
          </cell>
        </row>
        <row r="476">
          <cell r="A476" t="str">
            <v>2594466386</v>
          </cell>
          <cell r="B476" t="str">
            <v>Asad Ullah</v>
          </cell>
          <cell r="C476" t="str">
            <v>BUILDING ROOTS</v>
          </cell>
          <cell r="D476" t="str">
            <v>Carpenter</v>
          </cell>
        </row>
        <row r="477">
          <cell r="A477" t="str">
            <v>2571908835</v>
          </cell>
          <cell r="B477" t="str">
            <v>Asad Ullah</v>
          </cell>
          <cell r="C477" t="str">
            <v>ELITE HEART</v>
          </cell>
          <cell r="D477" t="str">
            <v>Steel Fixer</v>
          </cell>
        </row>
        <row r="478">
          <cell r="A478" t="str">
            <v>2632430795</v>
          </cell>
          <cell r="B478" t="str">
            <v>Asad khan</v>
          </cell>
          <cell r="C478" t="str">
            <v>AALICO</v>
          </cell>
          <cell r="D478" t="str">
            <v>labor</v>
          </cell>
        </row>
        <row r="479">
          <cell r="A479" t="str">
            <v>2602851145</v>
          </cell>
          <cell r="B479" t="str">
            <v>Asadullah</v>
          </cell>
          <cell r="C479" t="str">
            <v>ELITE HEART</v>
          </cell>
          <cell r="D479" t="str">
            <v>Steel Fixer</v>
          </cell>
        </row>
        <row r="480">
          <cell r="A480" t="str">
            <v>2613189881</v>
          </cell>
          <cell r="B480" t="str">
            <v>Asal Khan</v>
          </cell>
          <cell r="C480" t="str">
            <v>ELITE HEART</v>
          </cell>
          <cell r="D480" t="str">
            <v>Steel Fixer</v>
          </cell>
        </row>
        <row r="481">
          <cell r="A481" t="str">
            <v>2253502872</v>
          </cell>
          <cell r="B481" t="str">
            <v>Asalan</v>
          </cell>
          <cell r="C481" t="str">
            <v>BUILDING ROOTS</v>
          </cell>
          <cell r="D481" t="str">
            <v>Electrician</v>
          </cell>
        </row>
        <row r="482">
          <cell r="A482" t="str">
            <v>2523709166</v>
          </cell>
          <cell r="B482" t="str">
            <v>Aseel Abdulhameed</v>
          </cell>
          <cell r="C482" t="str">
            <v>BUILDING ROOTS</v>
          </cell>
          <cell r="D482" t="str">
            <v>Carpenter</v>
          </cell>
        </row>
        <row r="483">
          <cell r="A483" t="str">
            <v>1088773914</v>
          </cell>
          <cell r="B483" t="str">
            <v>Aseel Alkgudaydi</v>
          </cell>
          <cell r="C483" t="str">
            <v>JV (BBI-AGC)</v>
          </cell>
          <cell r="D483" t="str">
            <v>It</v>
          </cell>
        </row>
        <row r="484">
          <cell r="A484" t="str">
            <v>2636563013</v>
          </cell>
          <cell r="B484" t="str">
            <v>Asem mohammed</v>
          </cell>
          <cell r="C484" t="str">
            <v>BUILDING ROOTS</v>
          </cell>
          <cell r="D484" t="str">
            <v>Carpenter</v>
          </cell>
        </row>
        <row r="485">
          <cell r="A485" t="str">
            <v>2633062407</v>
          </cell>
          <cell r="B485" t="str">
            <v>Asfan yar</v>
          </cell>
          <cell r="C485" t="str">
            <v>UNITED GULF</v>
          </cell>
          <cell r="D485" t="str">
            <v>helper</v>
          </cell>
        </row>
        <row r="486">
          <cell r="A486" t="str">
            <v>2590918294</v>
          </cell>
          <cell r="B486" t="str">
            <v>Asfandyar Munir</v>
          </cell>
          <cell r="C486" t="str">
            <v>BUILDING ROOTS</v>
          </cell>
          <cell r="D486" t="str">
            <v>Labour</v>
          </cell>
        </row>
        <row r="487">
          <cell r="A487" t="str">
            <v>2552251262</v>
          </cell>
          <cell r="B487" t="str">
            <v>Asghar Ali</v>
          </cell>
          <cell r="C487" t="str">
            <v>SAUDI BAUER</v>
          </cell>
          <cell r="D487" t="str">
            <v>Excavator Opeator</v>
          </cell>
        </row>
        <row r="488">
          <cell r="A488" t="str">
            <v>2438297224</v>
          </cell>
          <cell r="B488" t="str">
            <v>Asgher Ali</v>
          </cell>
          <cell r="C488" t="str">
            <v>BUILDING ROOTS</v>
          </cell>
          <cell r="D488" t="str">
            <v>Steel Fixer</v>
          </cell>
        </row>
        <row r="489">
          <cell r="A489" t="str">
            <v>2517642076</v>
          </cell>
          <cell r="B489" t="str">
            <v>Ashekur</v>
          </cell>
          <cell r="C489" t="str">
            <v>JV (BBI-AGC)</v>
          </cell>
          <cell r="D489" t="str">
            <v>Electrician</v>
          </cell>
        </row>
        <row r="490">
          <cell r="A490" t="str">
            <v>2622370795</v>
          </cell>
          <cell r="B490" t="str">
            <v>Ashfaq</v>
          </cell>
          <cell r="C490" t="str">
            <v>UNITED GULF</v>
          </cell>
          <cell r="D490" t="str">
            <v>Operator</v>
          </cell>
        </row>
        <row r="491">
          <cell r="A491" t="str">
            <v>2536606011</v>
          </cell>
          <cell r="B491" t="str">
            <v>Ashfaq Ahmad</v>
          </cell>
          <cell r="C491" t="str">
            <v>JV (BBI-AGC)</v>
          </cell>
          <cell r="D491" t="str">
            <v>Crane Operator</v>
          </cell>
        </row>
        <row r="492">
          <cell r="A492" t="str">
            <v>2576678839</v>
          </cell>
          <cell r="B492" t="str">
            <v>Ashfaq Ahmed</v>
          </cell>
          <cell r="C492" t="str">
            <v>ELITE HEART</v>
          </cell>
          <cell r="D492" t="str">
            <v>Labour</v>
          </cell>
        </row>
        <row r="493">
          <cell r="A493" t="str">
            <v>2596282950</v>
          </cell>
          <cell r="B493" t="str">
            <v>Ashik Mian</v>
          </cell>
          <cell r="C493" t="str">
            <v>BUILDING ROOTS</v>
          </cell>
          <cell r="D493" t="str">
            <v>Steel Fixer</v>
          </cell>
        </row>
        <row r="494">
          <cell r="A494" t="str">
            <v>2591029364</v>
          </cell>
          <cell r="B494" t="str">
            <v>Ashikur</v>
          </cell>
          <cell r="C494" t="str">
            <v>BUILDING ROOTS</v>
          </cell>
          <cell r="D494" t="str">
            <v>Scaffolder</v>
          </cell>
        </row>
        <row r="495">
          <cell r="A495" t="str">
            <v>2615704836</v>
          </cell>
          <cell r="B495" t="str">
            <v>Ashiq Ali</v>
          </cell>
          <cell r="C495" t="str">
            <v>BUILDING ROOTS</v>
          </cell>
          <cell r="D495" t="str">
            <v>Steel Fixer</v>
          </cell>
        </row>
        <row r="496">
          <cell r="A496" t="str">
            <v>2499450167</v>
          </cell>
          <cell r="B496" t="str">
            <v>Ashiq Ur Rehman</v>
          </cell>
          <cell r="C496" t="str">
            <v>ELITE HEART</v>
          </cell>
          <cell r="D496" t="str">
            <v>Lab Technician</v>
          </cell>
        </row>
        <row r="497">
          <cell r="A497" t="str">
            <v>2631955636</v>
          </cell>
          <cell r="B497" t="str">
            <v>Ashique Narakkoden</v>
          </cell>
          <cell r="C497" t="str">
            <v>JV (BBI-AGC)</v>
          </cell>
          <cell r="D497" t="str">
            <v>QA/QC Engineer</v>
          </cell>
        </row>
        <row r="498">
          <cell r="A498" t="str">
            <v>2506333059</v>
          </cell>
          <cell r="B498" t="str">
            <v>Ashir Hussain</v>
          </cell>
          <cell r="C498" t="str">
            <v>BUILDING ROOTS</v>
          </cell>
          <cell r="D498" t="str">
            <v>Steel Fixer</v>
          </cell>
        </row>
        <row r="499">
          <cell r="A499" t="str">
            <v>2538711223</v>
          </cell>
          <cell r="B499" t="str">
            <v>Ashok Pal</v>
          </cell>
          <cell r="C499" t="str">
            <v>ELITE HEART</v>
          </cell>
          <cell r="D499" t="str">
            <v>Operator</v>
          </cell>
        </row>
        <row r="500">
          <cell r="A500" t="str">
            <v>2421107190</v>
          </cell>
          <cell r="B500" t="str">
            <v>Ashraf</v>
          </cell>
          <cell r="C500" t="str">
            <v>EURO TENT</v>
          </cell>
          <cell r="D500" t="str">
            <v>Foreman</v>
          </cell>
        </row>
        <row r="501">
          <cell r="A501" t="str">
            <v>2567248402</v>
          </cell>
          <cell r="B501" t="str">
            <v>Ashraf Ali</v>
          </cell>
          <cell r="C501" t="str">
            <v>BUILDING ROOTS</v>
          </cell>
          <cell r="D501" t="str">
            <v>Labour</v>
          </cell>
        </row>
        <row r="502">
          <cell r="A502" t="str">
            <v>2605163688</v>
          </cell>
          <cell r="B502" t="str">
            <v>Ashraf Ali</v>
          </cell>
          <cell r="C502" t="str">
            <v>BUILDING ROOTS</v>
          </cell>
          <cell r="D502" t="str">
            <v>Carpenter</v>
          </cell>
        </row>
        <row r="503">
          <cell r="A503" t="str">
            <v>2369109209</v>
          </cell>
          <cell r="B503" t="str">
            <v>Ashraf Asjad</v>
          </cell>
          <cell r="C503" t="str">
            <v>ALMABANI CONT.</v>
          </cell>
          <cell r="D503" t="str">
            <v>Steel Fixer</v>
          </cell>
        </row>
        <row r="504">
          <cell r="A504" t="str">
            <v>2525581712</v>
          </cell>
          <cell r="B504" t="str">
            <v>Ashraf Saeed</v>
          </cell>
          <cell r="C504" t="str">
            <v>BUILDING ROOTS</v>
          </cell>
          <cell r="D504" t="str">
            <v>Carpenter</v>
          </cell>
        </row>
        <row r="505">
          <cell r="A505" t="str">
            <v>2520850229</v>
          </cell>
          <cell r="B505" t="str">
            <v>Ashraf Ul</v>
          </cell>
          <cell r="C505" t="str">
            <v>GLOBAL CASTLES</v>
          </cell>
          <cell r="D505" t="str">
            <v>Surveyor Helper</v>
          </cell>
        </row>
        <row r="506">
          <cell r="A506" t="str">
            <v>2455183273</v>
          </cell>
          <cell r="B506" t="str">
            <v>Ashraf Zeineldeen</v>
          </cell>
          <cell r="C506" t="str">
            <v>ALMABANI CONT.</v>
          </cell>
          <cell r="D506" t="str">
            <v>Construction Manager</v>
          </cell>
        </row>
        <row r="507">
          <cell r="A507" t="str">
            <v>2558896219</v>
          </cell>
          <cell r="B507" t="str">
            <v>Asif</v>
          </cell>
          <cell r="C507" t="str">
            <v>ELITE HEART</v>
          </cell>
          <cell r="D507" t="str">
            <v>Operator</v>
          </cell>
        </row>
        <row r="508">
          <cell r="A508" t="str">
            <v>2579458973</v>
          </cell>
          <cell r="B508" t="str">
            <v>Asif</v>
          </cell>
          <cell r="C508" t="str">
            <v>ELITE HEART</v>
          </cell>
          <cell r="D508" t="str">
            <v>Labour</v>
          </cell>
        </row>
        <row r="509">
          <cell r="A509" t="str">
            <v>2569934801</v>
          </cell>
          <cell r="B509" t="str">
            <v>Asif</v>
          </cell>
          <cell r="C509" t="str">
            <v>BUILDING ROOTS</v>
          </cell>
          <cell r="D509" t="str">
            <v>Labour</v>
          </cell>
        </row>
        <row r="510">
          <cell r="A510" t="str">
            <v>2577439132</v>
          </cell>
          <cell r="B510" t="str">
            <v>Asif</v>
          </cell>
          <cell r="C510" t="str">
            <v>BUILDING ROOTS</v>
          </cell>
          <cell r="D510" t="str">
            <v>labor</v>
          </cell>
        </row>
        <row r="511">
          <cell r="A511" t="str">
            <v>2594083145</v>
          </cell>
          <cell r="B511" t="str">
            <v>Asif Ali</v>
          </cell>
          <cell r="C511" t="str">
            <v>-</v>
          </cell>
          <cell r="D511" t="str">
            <v>Steel Fixer</v>
          </cell>
        </row>
        <row r="512">
          <cell r="A512" t="str">
            <v>2530744396</v>
          </cell>
          <cell r="B512" t="str">
            <v>Asif Ali</v>
          </cell>
          <cell r="C512" t="str">
            <v>BUILDING ROOTS</v>
          </cell>
          <cell r="D512" t="str">
            <v>Labour</v>
          </cell>
        </row>
        <row r="513">
          <cell r="A513" t="str">
            <v>2520220183</v>
          </cell>
          <cell r="B513" t="str">
            <v>Asif Ali</v>
          </cell>
          <cell r="C513" t="str">
            <v>ELITE HEART</v>
          </cell>
          <cell r="D513" t="str">
            <v>Steel Fixer</v>
          </cell>
        </row>
        <row r="514">
          <cell r="A514" t="str">
            <v>2509307308</v>
          </cell>
          <cell r="B514" t="str">
            <v>Asif Hassan</v>
          </cell>
          <cell r="C514" t="str">
            <v>SAUDI BAUER</v>
          </cell>
          <cell r="D514" t="str">
            <v>Supervisor</v>
          </cell>
        </row>
        <row r="515">
          <cell r="A515" t="str">
            <v>2582911695</v>
          </cell>
          <cell r="B515" t="str">
            <v>Asif Khan</v>
          </cell>
          <cell r="C515" t="str">
            <v>SAUDI BAUER</v>
          </cell>
          <cell r="D515" t="str">
            <v>Dump Truck Driver</v>
          </cell>
        </row>
        <row r="516">
          <cell r="A516" t="str">
            <v>2607666738</v>
          </cell>
          <cell r="B516" t="str">
            <v>Asif Khan</v>
          </cell>
          <cell r="C516" t="str">
            <v>BUILDING ROOTS</v>
          </cell>
          <cell r="D516" t="str">
            <v>Excavator Operator</v>
          </cell>
        </row>
        <row r="517">
          <cell r="A517" t="str">
            <v>2604553285</v>
          </cell>
          <cell r="B517" t="str">
            <v>Asif Ullah Shah</v>
          </cell>
          <cell r="C517" t="str">
            <v>BUILDING ROOTS</v>
          </cell>
          <cell r="D517" t="str">
            <v>Labour</v>
          </cell>
        </row>
        <row r="518">
          <cell r="A518" t="str">
            <v>2564128011</v>
          </cell>
          <cell r="B518" t="str">
            <v>Asif fareed</v>
          </cell>
          <cell r="C518" t="str">
            <v>UNITED GULF</v>
          </cell>
          <cell r="D518" t="str">
            <v>Rigger</v>
          </cell>
        </row>
        <row r="519">
          <cell r="A519" t="str">
            <v>2561399979</v>
          </cell>
          <cell r="B519" t="str">
            <v>Asif khan</v>
          </cell>
          <cell r="C519" t="str">
            <v>BUILDING ROOTS</v>
          </cell>
          <cell r="D519" t="str">
            <v>Steel Fixer</v>
          </cell>
        </row>
        <row r="520">
          <cell r="A520" t="str">
            <v>2619726454</v>
          </cell>
          <cell r="B520" t="str">
            <v>Asif khan</v>
          </cell>
          <cell r="C520" t="str">
            <v>UNITED GULF</v>
          </cell>
          <cell r="D520" t="str">
            <v>helper</v>
          </cell>
        </row>
        <row r="521">
          <cell r="A521" t="str">
            <v>2612637286</v>
          </cell>
          <cell r="B521" t="str">
            <v>Asif latif</v>
          </cell>
          <cell r="C521"/>
          <cell r="D521" t="str">
            <v>Carpenter</v>
          </cell>
        </row>
        <row r="522">
          <cell r="A522" t="str">
            <v>2606286405</v>
          </cell>
          <cell r="B522" t="str">
            <v>Asim Ali</v>
          </cell>
          <cell r="C522" t="str">
            <v>BUILDING ROOTS</v>
          </cell>
          <cell r="D522" t="str">
            <v>Steel Fixer</v>
          </cell>
        </row>
        <row r="523">
          <cell r="A523" t="str">
            <v>2559493925</v>
          </cell>
          <cell r="B523" t="str">
            <v>Asim Shah</v>
          </cell>
          <cell r="C523" t="str">
            <v>ELITE HEART</v>
          </cell>
          <cell r="D523" t="str">
            <v>Scaffolder</v>
          </cell>
        </row>
        <row r="524">
          <cell r="A524" t="str">
            <v>2587500105</v>
          </cell>
          <cell r="B524" t="str">
            <v>Asim Sharif</v>
          </cell>
          <cell r="C524" t="str">
            <v>UNITED</v>
          </cell>
          <cell r="D524" t="str">
            <v>Bobcat Operator</v>
          </cell>
        </row>
        <row r="525">
          <cell r="A525" t="str">
            <v>2619150721</v>
          </cell>
          <cell r="B525" t="str">
            <v>Asim Ullah</v>
          </cell>
          <cell r="C525" t="str">
            <v>BUILDING ROOTS</v>
          </cell>
          <cell r="D525" t="str">
            <v>Steel Fixer</v>
          </cell>
        </row>
        <row r="526">
          <cell r="A526" t="str">
            <v>2477231134</v>
          </cell>
          <cell r="B526" t="str">
            <v>Aslam</v>
          </cell>
          <cell r="C526" t="str">
            <v>BUILDING ROOTS</v>
          </cell>
          <cell r="D526" t="str">
            <v>Foreman Steel Fixer</v>
          </cell>
        </row>
        <row r="527">
          <cell r="A527" t="str">
            <v>2399603469</v>
          </cell>
          <cell r="B527" t="str">
            <v>Aslam</v>
          </cell>
          <cell r="C527" t="str">
            <v>BUILDING ROOTS</v>
          </cell>
          <cell r="D527" t="str">
            <v>mason</v>
          </cell>
        </row>
        <row r="528">
          <cell r="A528" t="str">
            <v>2329429332</v>
          </cell>
          <cell r="B528" t="str">
            <v>Asmat Ullah</v>
          </cell>
          <cell r="C528" t="str">
            <v>ARABIAN TOWER</v>
          </cell>
          <cell r="D528" t="str">
            <v>Erector</v>
          </cell>
        </row>
        <row r="529">
          <cell r="A529" t="str">
            <v>2516366727</v>
          </cell>
          <cell r="B529" t="str">
            <v>Asmaul</v>
          </cell>
          <cell r="C529" t="str">
            <v>GLOBAL CASTLE</v>
          </cell>
          <cell r="D529" t="str">
            <v>foreman steel</v>
          </cell>
        </row>
        <row r="530">
          <cell r="A530" t="str">
            <v>2620025490</v>
          </cell>
          <cell r="B530" t="str">
            <v>Asran</v>
          </cell>
          <cell r="C530" t="str">
            <v>BUILDING ROOTS</v>
          </cell>
          <cell r="D530" t="str">
            <v>Labour</v>
          </cell>
        </row>
        <row r="531">
          <cell r="A531" t="str">
            <v>2561258969</v>
          </cell>
          <cell r="B531" t="str">
            <v>Atanu Rama</v>
          </cell>
          <cell r="C531" t="str">
            <v>QIDDIYA</v>
          </cell>
          <cell r="D531" t="str">
            <v>Sr. Env Mngr</v>
          </cell>
        </row>
        <row r="532">
          <cell r="A532" t="str">
            <v>2601815919</v>
          </cell>
          <cell r="B532" t="str">
            <v>Ateequr Rahman</v>
          </cell>
          <cell r="C532" t="str">
            <v>ELITE HEART</v>
          </cell>
          <cell r="D532" t="str">
            <v>Labour</v>
          </cell>
        </row>
        <row r="533">
          <cell r="A533" t="str">
            <v>2588872586</v>
          </cell>
          <cell r="B533" t="str">
            <v>Atif</v>
          </cell>
          <cell r="C533" t="str">
            <v>BUILDING ROOTS</v>
          </cell>
          <cell r="D533" t="str">
            <v>Steel Fixer</v>
          </cell>
        </row>
        <row r="534">
          <cell r="A534" t="str">
            <v>2406930160</v>
          </cell>
          <cell r="B534" t="str">
            <v>Atif Hussain</v>
          </cell>
          <cell r="C534" t="str">
            <v>ELITE HEART</v>
          </cell>
          <cell r="D534" t="str">
            <v>Steel Fixer</v>
          </cell>
        </row>
        <row r="535">
          <cell r="A535" t="str">
            <v>2612811378</v>
          </cell>
          <cell r="B535" t="str">
            <v>Atif khan</v>
          </cell>
          <cell r="C535" t="str">
            <v>BUILDING ROOTS</v>
          </cell>
          <cell r="D535" t="str">
            <v>labor</v>
          </cell>
        </row>
        <row r="536">
          <cell r="A536" t="str">
            <v>2551371707</v>
          </cell>
          <cell r="B536" t="str">
            <v>Atikul</v>
          </cell>
          <cell r="C536" t="str">
            <v>GLOBAL CASTLES</v>
          </cell>
          <cell r="D536" t="str">
            <v>Electrician</v>
          </cell>
        </row>
        <row r="537">
          <cell r="A537" t="str">
            <v>2522599626</v>
          </cell>
          <cell r="B537" t="str">
            <v>Atim</v>
          </cell>
          <cell r="C537" t="str">
            <v>ALMABANI CONT.</v>
          </cell>
          <cell r="D537" t="str">
            <v>Electrician</v>
          </cell>
        </row>
        <row r="538">
          <cell r="A538" t="str">
            <v>2525666406</v>
          </cell>
          <cell r="B538" t="str">
            <v>Atiq Ur Rehman</v>
          </cell>
          <cell r="C538" t="str">
            <v>BOUYGUES CONS.</v>
          </cell>
          <cell r="D538" t="str">
            <v>Tower Crane Operator</v>
          </cell>
        </row>
        <row r="539">
          <cell r="A539" t="str">
            <v>2619647817</v>
          </cell>
          <cell r="B539" t="str">
            <v>Atrab Hussain</v>
          </cell>
          <cell r="C539" t="str">
            <v>BUILDING ROOTS</v>
          </cell>
          <cell r="D539" t="str">
            <v>Driver</v>
          </cell>
        </row>
        <row r="540">
          <cell r="A540" t="str">
            <v>2591230376</v>
          </cell>
          <cell r="B540" t="str">
            <v>Atta Ullah</v>
          </cell>
          <cell r="C540" t="str">
            <v>BUILDING ROOTS</v>
          </cell>
          <cell r="D540" t="str">
            <v>Carpenter</v>
          </cell>
        </row>
        <row r="541">
          <cell r="A541" t="str">
            <v>2586090447</v>
          </cell>
          <cell r="B541" t="str">
            <v>Atta urrhiman</v>
          </cell>
          <cell r="C541" t="str">
            <v>AALICO</v>
          </cell>
          <cell r="D541" t="str">
            <v>labor</v>
          </cell>
        </row>
        <row r="542">
          <cell r="A542" t="str">
            <v>2607982242</v>
          </cell>
          <cell r="B542" t="str">
            <v>Attaullah</v>
          </cell>
          <cell r="C542" t="str">
            <v>BUILDING ROOTS</v>
          </cell>
          <cell r="D542" t="str">
            <v>Steel Fixer</v>
          </cell>
        </row>
        <row r="543">
          <cell r="A543" t="str">
            <v>2248292043</v>
          </cell>
          <cell r="B543" t="str">
            <v>Attiqur Rehman</v>
          </cell>
          <cell r="C543" t="str">
            <v>SAUDI BAUER</v>
          </cell>
          <cell r="D543" t="str">
            <v>Crane Operator</v>
          </cell>
        </row>
        <row r="544">
          <cell r="A544" t="str">
            <v>2608445082</v>
          </cell>
          <cell r="B544" t="str">
            <v>Attteli Rehman</v>
          </cell>
          <cell r="C544" t="str">
            <v>ELITE HEART</v>
          </cell>
          <cell r="D544" t="str">
            <v>Steel Fixer</v>
          </cell>
        </row>
        <row r="545">
          <cell r="A545" t="str">
            <v>2556545862</v>
          </cell>
          <cell r="B545" t="str">
            <v>Aurang Zeb</v>
          </cell>
          <cell r="C545" t="str">
            <v>BUILDING ROOTS</v>
          </cell>
          <cell r="D545" t="str">
            <v>Electrician</v>
          </cell>
        </row>
        <row r="546">
          <cell r="A546" t="str">
            <v>2536654250</v>
          </cell>
          <cell r="B546" t="str">
            <v>Aurang Zeb Khan</v>
          </cell>
          <cell r="C546" t="str">
            <v>ELITE HEART</v>
          </cell>
          <cell r="D546" t="str">
            <v>Steel Fixer</v>
          </cell>
        </row>
        <row r="547">
          <cell r="A547" t="str">
            <v>2588054706</v>
          </cell>
          <cell r="B547" t="str">
            <v>Aurangzeb</v>
          </cell>
          <cell r="C547" t="str">
            <v>SAUDI ENVIROZONE</v>
          </cell>
          <cell r="D547" t="str">
            <v>Air Quality Technician</v>
          </cell>
        </row>
        <row r="548">
          <cell r="A548" t="str">
            <v>2446587574</v>
          </cell>
          <cell r="B548" t="str">
            <v>Awad Mahyub</v>
          </cell>
          <cell r="C548" t="str">
            <v>BUILDING ROOTS</v>
          </cell>
          <cell r="D548" t="str">
            <v>Carpenter</v>
          </cell>
        </row>
        <row r="549">
          <cell r="A549" t="str">
            <v>2624408668</v>
          </cell>
          <cell r="B549" t="str">
            <v>Awais</v>
          </cell>
          <cell r="C549" t="str">
            <v>BUILDING ROOTS</v>
          </cell>
          <cell r="D549" t="str">
            <v>Labour</v>
          </cell>
        </row>
        <row r="550">
          <cell r="A550" t="str">
            <v>2598935993</v>
          </cell>
          <cell r="B550" t="str">
            <v>Awais</v>
          </cell>
          <cell r="C550" t="str">
            <v>BUILDING ROOTS</v>
          </cell>
          <cell r="D550" t="str">
            <v>Qc Engineer</v>
          </cell>
        </row>
        <row r="551">
          <cell r="A551" t="str">
            <v>2514218441</v>
          </cell>
          <cell r="B551" t="str">
            <v>Awais Ali</v>
          </cell>
          <cell r="C551" t="str">
            <v>SAUDI BAUER</v>
          </cell>
          <cell r="D551" t="str">
            <v>Rig Operator</v>
          </cell>
        </row>
        <row r="552">
          <cell r="A552" t="str">
            <v>2557249097</v>
          </cell>
          <cell r="B552" t="str">
            <v>Awais Mumin</v>
          </cell>
          <cell r="C552" t="str">
            <v>BUILDING ROOTS</v>
          </cell>
          <cell r="D552" t="str">
            <v>Steel Fixer</v>
          </cell>
        </row>
        <row r="553">
          <cell r="A553" t="str">
            <v>2561186079</v>
          </cell>
          <cell r="B553" t="str">
            <v>Awais Razzaq</v>
          </cell>
          <cell r="C553" t="str">
            <v>ALMABANI CONT.</v>
          </cell>
          <cell r="D553" t="str">
            <v>Electrician</v>
          </cell>
        </row>
        <row r="554">
          <cell r="A554" t="str">
            <v>2542514746</v>
          </cell>
          <cell r="B554" t="str">
            <v>Awais Seleem</v>
          </cell>
          <cell r="C554" t="str">
            <v>GLOBAL CASTLES</v>
          </cell>
          <cell r="D554" t="str">
            <v>Carpenter Foreman</v>
          </cell>
        </row>
        <row r="555">
          <cell r="A555" t="str">
            <v>2515704019</v>
          </cell>
          <cell r="B555" t="str">
            <v>Awais Ullah</v>
          </cell>
          <cell r="C555" t="str">
            <v>BUILDING ROOTS</v>
          </cell>
          <cell r="D555" t="str">
            <v>Driver</v>
          </cell>
        </row>
        <row r="556">
          <cell r="A556" t="str">
            <v>2237426743</v>
          </cell>
          <cell r="B556" t="str">
            <v>Awal Hussain</v>
          </cell>
          <cell r="C556" t="str">
            <v>ELITE HEART</v>
          </cell>
          <cell r="D556" t="str">
            <v>Labour</v>
          </cell>
        </row>
        <row r="557">
          <cell r="A557" t="str">
            <v>2503502623</v>
          </cell>
          <cell r="B557" t="str">
            <v>Awed</v>
          </cell>
          <cell r="C557" t="str">
            <v>ELITE HEART</v>
          </cell>
          <cell r="D557" t="str">
            <v>Supervisor</v>
          </cell>
        </row>
        <row r="558">
          <cell r="A558" t="str">
            <v>2325952695</v>
          </cell>
          <cell r="B558" t="str">
            <v>Ayad Hamid</v>
          </cell>
          <cell r="C558" t="str">
            <v>BUILDING ROOTS</v>
          </cell>
          <cell r="D558" t="str">
            <v>Carpenter</v>
          </cell>
        </row>
        <row r="559">
          <cell r="A559" t="str">
            <v>2486640721</v>
          </cell>
          <cell r="B559" t="str">
            <v>Ayaz</v>
          </cell>
          <cell r="C559" t="str">
            <v>ELITE HEART</v>
          </cell>
          <cell r="D559" t="str">
            <v>Surveyor</v>
          </cell>
        </row>
        <row r="560">
          <cell r="A560" t="str">
            <v>2618384065</v>
          </cell>
          <cell r="B560" t="str">
            <v>Ayaz Khan</v>
          </cell>
          <cell r="C560" t="str">
            <v>BUILDING ROOTS</v>
          </cell>
          <cell r="D560" t="str">
            <v>Labour</v>
          </cell>
        </row>
        <row r="561">
          <cell r="A561" t="str">
            <v>2613913520</v>
          </cell>
          <cell r="B561" t="str">
            <v>Ayaz Ullah</v>
          </cell>
          <cell r="C561" t="str">
            <v>BUILDING ROOTS</v>
          </cell>
          <cell r="D561" t="str">
            <v>Labour</v>
          </cell>
        </row>
        <row r="562">
          <cell r="A562" t="str">
            <v>2387687607</v>
          </cell>
          <cell r="B562" t="str">
            <v>Ayman Mansoor</v>
          </cell>
          <cell r="C562" t="str">
            <v>BUILDING ROOTS</v>
          </cell>
          <cell r="D562" t="str">
            <v>Carpenter</v>
          </cell>
        </row>
        <row r="563">
          <cell r="A563" t="str">
            <v>2626399691</v>
          </cell>
          <cell r="B563" t="str">
            <v>Aynul Atik</v>
          </cell>
          <cell r="C563" t="str">
            <v>BUILDING ROOTS</v>
          </cell>
          <cell r="D563" t="str">
            <v>Steel Fixer</v>
          </cell>
        </row>
        <row r="564">
          <cell r="A564" t="str">
            <v>2619184704</v>
          </cell>
          <cell r="B564" t="str">
            <v>Ayoub Khan</v>
          </cell>
          <cell r="C564" t="str">
            <v>BUILDING ROOTS</v>
          </cell>
          <cell r="D564" t="str">
            <v>Steel Fixer</v>
          </cell>
        </row>
        <row r="565">
          <cell r="A565" t="str">
            <v>2610276392</v>
          </cell>
          <cell r="B565" t="str">
            <v>Ayub Khan</v>
          </cell>
          <cell r="C565" t="str">
            <v>BUILDING ROOTS</v>
          </cell>
          <cell r="D565" t="str">
            <v>Labour</v>
          </cell>
        </row>
        <row r="566">
          <cell r="A566" t="str">
            <v>1142427291</v>
          </cell>
          <cell r="B566" t="str">
            <v>Azaam Baddy</v>
          </cell>
          <cell r="C566" t="str">
            <v>AL JOHARAH</v>
          </cell>
          <cell r="D566" t="str">
            <v>Security Officer</v>
          </cell>
        </row>
        <row r="567">
          <cell r="A567" t="str">
            <v>2560594596</v>
          </cell>
          <cell r="B567" t="str">
            <v>Azam</v>
          </cell>
          <cell r="C567" t="str">
            <v>JV (BBI-AGC)</v>
          </cell>
          <cell r="D567" t="str">
            <v>Rigger</v>
          </cell>
        </row>
        <row r="568">
          <cell r="A568" t="str">
            <v>2324574892</v>
          </cell>
          <cell r="B568" t="str">
            <v>Azam</v>
          </cell>
          <cell r="C568" t="str">
            <v>ELITE HEART</v>
          </cell>
          <cell r="D568" t="str">
            <v>Foreman</v>
          </cell>
        </row>
        <row r="569">
          <cell r="A569" t="str">
            <v>2546817062</v>
          </cell>
          <cell r="B569" t="str">
            <v>Azeem</v>
          </cell>
          <cell r="C569" t="str">
            <v>BUILDING ROOTS</v>
          </cell>
          <cell r="D569" t="str">
            <v>Safety Officer</v>
          </cell>
        </row>
        <row r="570">
          <cell r="A570" t="str">
            <v>2599316789</v>
          </cell>
          <cell r="B570" t="str">
            <v>Azeem Nawaz</v>
          </cell>
          <cell r="C570" t="str">
            <v>BUILDING ROOTS</v>
          </cell>
          <cell r="D570" t="str">
            <v>Steel Fixer</v>
          </cell>
        </row>
        <row r="571">
          <cell r="A571" t="str">
            <v>2620485983</v>
          </cell>
          <cell r="B571" t="str">
            <v>Azhar</v>
          </cell>
          <cell r="C571" t="str">
            <v>BUILDING ROOTS</v>
          </cell>
          <cell r="D571" t="str">
            <v>Steel Fixer</v>
          </cell>
        </row>
        <row r="572">
          <cell r="A572" t="str">
            <v>2509957938</v>
          </cell>
          <cell r="B572" t="str">
            <v>Azhar abbas</v>
          </cell>
          <cell r="C572" t="str">
            <v>BUILDING ROOTS</v>
          </cell>
          <cell r="D572" t="str">
            <v>Steel Fixer</v>
          </cell>
        </row>
        <row r="573">
          <cell r="A573" t="str">
            <v>2610374528</v>
          </cell>
          <cell r="B573" t="str">
            <v>Aziz Khan</v>
          </cell>
          <cell r="C573" t="str">
            <v>SAUDI BAUER</v>
          </cell>
          <cell r="D573" t="str">
            <v>Surveyor Helper</v>
          </cell>
        </row>
        <row r="574">
          <cell r="A574" t="str">
            <v>2575764978</v>
          </cell>
          <cell r="B574" t="str">
            <v>Aziz Muhammad</v>
          </cell>
          <cell r="C574" t="str">
            <v>ELITE HEART</v>
          </cell>
          <cell r="D574" t="str">
            <v>Carpenter</v>
          </cell>
        </row>
        <row r="575">
          <cell r="A575" t="str">
            <v>2578275796</v>
          </cell>
          <cell r="B575" t="str">
            <v>Aziz Ullah</v>
          </cell>
          <cell r="C575" t="str">
            <v>ELITE HEART</v>
          </cell>
          <cell r="D575" t="str">
            <v>Muhammad</v>
          </cell>
        </row>
        <row r="576">
          <cell r="A576" t="str">
            <v>2438522027</v>
          </cell>
          <cell r="B576" t="str">
            <v>Azizul</v>
          </cell>
          <cell r="C576" t="str">
            <v>ELITE HEART</v>
          </cell>
          <cell r="D576" t="str">
            <v>Rigger</v>
          </cell>
        </row>
        <row r="577">
          <cell r="A577" t="str">
            <v>2597230529</v>
          </cell>
          <cell r="B577" t="str">
            <v>Azizul islam</v>
          </cell>
          <cell r="C577" t="str">
            <v>GLOBAL CASTLE</v>
          </cell>
          <cell r="D577" t="str">
            <v>Scaffolder</v>
          </cell>
        </row>
        <row r="578">
          <cell r="A578" t="str">
            <v>2533984601</v>
          </cell>
          <cell r="B578" t="str">
            <v>Azmat Ali</v>
          </cell>
          <cell r="C578" t="str">
            <v>BUILDING ROOTS</v>
          </cell>
          <cell r="D578" t="str">
            <v>Qa / Qc Engineer</v>
          </cell>
        </row>
        <row r="579">
          <cell r="A579" t="str">
            <v>2608857864</v>
          </cell>
          <cell r="B579" t="str">
            <v>Azmat Ullah</v>
          </cell>
          <cell r="C579" t="str">
            <v>BUILDING ROOTS</v>
          </cell>
          <cell r="D579" t="str">
            <v>Steel Fixer</v>
          </cell>
        </row>
        <row r="580">
          <cell r="A580" t="str">
            <v>2606885354</v>
          </cell>
          <cell r="B580" t="str">
            <v>Azmat iyaz khan</v>
          </cell>
          <cell r="C580" t="str">
            <v>UNITED GULF</v>
          </cell>
          <cell r="D580" t="str">
            <v>welder</v>
          </cell>
        </row>
        <row r="581">
          <cell r="A581" t="str">
            <v>2526759622</v>
          </cell>
          <cell r="B581" t="str">
            <v>Babar Ali</v>
          </cell>
          <cell r="C581" t="str">
            <v>ALMABANI CONT.</v>
          </cell>
          <cell r="D581" t="str">
            <v>Painter</v>
          </cell>
        </row>
        <row r="582">
          <cell r="A582" t="str">
            <v>2618286383</v>
          </cell>
          <cell r="B582" t="str">
            <v>Babil Abdullah</v>
          </cell>
          <cell r="C582" t="str">
            <v>BUILDING ROOTS</v>
          </cell>
          <cell r="D582" t="str">
            <v>Carpenter</v>
          </cell>
        </row>
        <row r="583">
          <cell r="A583" t="str">
            <v>2518999764</v>
          </cell>
          <cell r="B583" t="str">
            <v>Babul</v>
          </cell>
          <cell r="C583" t="str">
            <v>BUILDING ROOTS</v>
          </cell>
          <cell r="D583" t="str">
            <v>Steel Fixer</v>
          </cell>
        </row>
        <row r="584">
          <cell r="A584" t="str">
            <v>2532334782</v>
          </cell>
          <cell r="B584" t="str">
            <v>Bacha Rehman</v>
          </cell>
          <cell r="C584" t="str">
            <v>SAUDI BAUER</v>
          </cell>
          <cell r="D584" t="str">
            <v>Helper</v>
          </cell>
        </row>
        <row r="585">
          <cell r="A585" t="str">
            <v>2635427624</v>
          </cell>
          <cell r="B585" t="str">
            <v>Badal munna</v>
          </cell>
          <cell r="C585" t="str">
            <v>ELITE HEART</v>
          </cell>
          <cell r="D585" t="str">
            <v>Carpenter</v>
          </cell>
        </row>
        <row r="586">
          <cell r="A586" t="str">
            <v>1104832306</v>
          </cell>
          <cell r="B586" t="str">
            <v>Bader Alomari</v>
          </cell>
          <cell r="C586" t="str">
            <v>BOUYGUES CONST.</v>
          </cell>
          <cell r="D586" t="str">
            <v>Site Supervisor</v>
          </cell>
        </row>
        <row r="587">
          <cell r="A587" t="str">
            <v>2608834335</v>
          </cell>
          <cell r="B587" t="str">
            <v>Badiea murad</v>
          </cell>
          <cell r="C587" t="str">
            <v>BUILDING ROOTS</v>
          </cell>
          <cell r="D587" t="str">
            <v>Carpenter</v>
          </cell>
        </row>
        <row r="588">
          <cell r="A588" t="str">
            <v>2247016484</v>
          </cell>
          <cell r="B588" t="str">
            <v>Badshah Ansari</v>
          </cell>
          <cell r="C588" t="str">
            <v>TAMIMI</v>
          </cell>
          <cell r="D588" t="str">
            <v>Mason</v>
          </cell>
        </row>
        <row r="589">
          <cell r="A589" t="str">
            <v>2533628315</v>
          </cell>
          <cell r="B589" t="str">
            <v>Badshah Rawiz</v>
          </cell>
          <cell r="C589" t="str">
            <v>ELITE HEART</v>
          </cell>
          <cell r="D589" t="str">
            <v>-</v>
          </cell>
        </row>
        <row r="590">
          <cell r="A590" t="str">
            <v>2611585866</v>
          </cell>
          <cell r="B590" t="str">
            <v>Badshah khan</v>
          </cell>
          <cell r="C590" t="str">
            <v>BUILDING ROOTS</v>
          </cell>
          <cell r="D590" t="str">
            <v>labor</v>
          </cell>
        </row>
        <row r="591">
          <cell r="A591" t="str">
            <v>2593489988</v>
          </cell>
          <cell r="B591" t="str">
            <v>Bahadarzeb</v>
          </cell>
          <cell r="C591" t="str">
            <v>ELITE HEART</v>
          </cell>
          <cell r="D591" t="str">
            <v>Carpenter</v>
          </cell>
        </row>
        <row r="592">
          <cell r="A592" t="str">
            <v>2610273886</v>
          </cell>
          <cell r="B592" t="str">
            <v>Bahadur</v>
          </cell>
          <cell r="C592" t="str">
            <v>ELITE HEART</v>
          </cell>
          <cell r="D592" t="str">
            <v>Carpenter</v>
          </cell>
        </row>
        <row r="593">
          <cell r="A593" t="str">
            <v>2500619230</v>
          </cell>
          <cell r="B593" t="str">
            <v>Bahar Uddin</v>
          </cell>
          <cell r="C593" t="str">
            <v>ELITE HEART</v>
          </cell>
          <cell r="D593" t="str">
            <v>Labour</v>
          </cell>
        </row>
        <row r="594">
          <cell r="A594" t="str">
            <v>2535265207</v>
          </cell>
          <cell r="B594" t="str">
            <v>Bahauddin Nasim</v>
          </cell>
          <cell r="C594" t="str">
            <v>ELITE HEART</v>
          </cell>
          <cell r="D594" t="str">
            <v>Rigger</v>
          </cell>
        </row>
        <row r="595">
          <cell r="A595" t="str">
            <v>2607627318</v>
          </cell>
          <cell r="B595" t="str">
            <v>Bahim Bahadur</v>
          </cell>
          <cell r="C595" t="str">
            <v>UNITED</v>
          </cell>
          <cell r="D595" t="str">
            <v>Jcb Operator</v>
          </cell>
        </row>
        <row r="596">
          <cell r="A596" t="str">
            <v>2629872132</v>
          </cell>
          <cell r="B596" t="str">
            <v>Bakht Ali</v>
          </cell>
          <cell r="C596" t="str">
            <v>BUILDING ROOTS</v>
          </cell>
          <cell r="D596" t="str">
            <v>Labour</v>
          </cell>
        </row>
        <row r="597">
          <cell r="A597" t="str">
            <v>2544699313</v>
          </cell>
          <cell r="B597" t="str">
            <v>Bakht Bedar</v>
          </cell>
          <cell r="C597" t="str">
            <v>GULF MARK</v>
          </cell>
          <cell r="D597" t="str">
            <v>Operator</v>
          </cell>
        </row>
        <row r="598">
          <cell r="A598" t="str">
            <v>2323226767</v>
          </cell>
          <cell r="B598" t="str">
            <v>Bakht Munir</v>
          </cell>
          <cell r="C598" t="str">
            <v>BUILDING ROOTS</v>
          </cell>
          <cell r="D598" t="str">
            <v>Foreman</v>
          </cell>
        </row>
        <row r="599">
          <cell r="A599" t="str">
            <v>2201597792</v>
          </cell>
          <cell r="B599" t="str">
            <v>Bakht Nawab</v>
          </cell>
          <cell r="C599" t="str">
            <v>ELITE HEART</v>
          </cell>
          <cell r="D599" t="str">
            <v>Carpenter</v>
          </cell>
        </row>
        <row r="600">
          <cell r="A600" t="str">
            <v>2581142227</v>
          </cell>
          <cell r="B600" t="str">
            <v>Bakht Nawaz</v>
          </cell>
          <cell r="C600" t="str">
            <v>BUILDING ROOTS</v>
          </cell>
          <cell r="D600" t="str">
            <v>Carpenter</v>
          </cell>
        </row>
        <row r="601">
          <cell r="A601" t="str">
            <v>2171765155</v>
          </cell>
          <cell r="B601" t="str">
            <v>Bakht Zameen</v>
          </cell>
          <cell r="C601" t="str">
            <v>BUILDING ROOTS</v>
          </cell>
          <cell r="D601" t="str">
            <v>Carpenter</v>
          </cell>
        </row>
        <row r="602">
          <cell r="A602" t="str">
            <v>2587505393</v>
          </cell>
          <cell r="B602" t="str">
            <v>Bakhtiar Alam</v>
          </cell>
          <cell r="C602" t="str">
            <v>BUILDING ROOTS</v>
          </cell>
          <cell r="D602" t="str">
            <v>Foreman</v>
          </cell>
        </row>
        <row r="603">
          <cell r="A603" t="str">
            <v>2626064378</v>
          </cell>
          <cell r="B603" t="str">
            <v>Bakul Mondal</v>
          </cell>
          <cell r="C603" t="str">
            <v>ELITE HEART</v>
          </cell>
          <cell r="D603" t="str">
            <v>Carpenter</v>
          </cell>
        </row>
        <row r="604">
          <cell r="A604" t="str">
            <v>2633842154</v>
          </cell>
          <cell r="B604" t="str">
            <v>Bala Sumramaniam</v>
          </cell>
          <cell r="C604" t="str">
            <v>AMAL AL-MUSTAQBAL</v>
          </cell>
          <cell r="D604" t="str">
            <v>Site Supervisor</v>
          </cell>
        </row>
        <row r="605">
          <cell r="A605" t="str">
            <v>2558146359</v>
          </cell>
          <cell r="B605" t="str">
            <v>Bandar Adul Rehman</v>
          </cell>
          <cell r="C605" t="str">
            <v>BUILDING ROOTS</v>
          </cell>
          <cell r="D605" t="str">
            <v>Carpenter</v>
          </cell>
        </row>
        <row r="606">
          <cell r="A606" t="str">
            <v>2549940944</v>
          </cell>
          <cell r="B606" t="str">
            <v>Barakatullah</v>
          </cell>
          <cell r="C606" t="str">
            <v>ARABIAN TOWER</v>
          </cell>
          <cell r="D606" t="str">
            <v>Tower Crane Operator</v>
          </cell>
        </row>
        <row r="607">
          <cell r="A607" t="str">
            <v>2620338408</v>
          </cell>
          <cell r="B607" t="str">
            <v>Barkat ali</v>
          </cell>
          <cell r="C607" t="str">
            <v>GLOBAL CASTLE</v>
          </cell>
          <cell r="D607" t="str">
            <v>Steel Fixer</v>
          </cell>
        </row>
        <row r="608">
          <cell r="A608" t="str">
            <v>2613847918</v>
          </cell>
          <cell r="B608" t="str">
            <v>Barrett</v>
          </cell>
          <cell r="C608" t="str">
            <v>QIDDIYA</v>
          </cell>
          <cell r="D608" t="str">
            <v>Senior Design Manager Mep</v>
          </cell>
        </row>
        <row r="609">
          <cell r="A609" t="str">
            <v>2499964548</v>
          </cell>
          <cell r="B609" t="str">
            <v>Basel Miah</v>
          </cell>
          <cell r="C609" t="str">
            <v>JV (BBI-AGC)</v>
          </cell>
          <cell r="D609" t="str">
            <v>Rigger</v>
          </cell>
        </row>
        <row r="610">
          <cell r="A610" t="str">
            <v>2520089810</v>
          </cell>
          <cell r="B610" t="str">
            <v>Basem Ahmed</v>
          </cell>
          <cell r="C610" t="str">
            <v>BUILDING ROOTS</v>
          </cell>
          <cell r="D610" t="str">
            <v>Carpenter</v>
          </cell>
        </row>
        <row r="611">
          <cell r="A611" t="str">
            <v>2629567617</v>
          </cell>
          <cell r="B611" t="str">
            <v>Bashair Mohammed</v>
          </cell>
          <cell r="C611" t="str">
            <v>BUILDING ROOTS</v>
          </cell>
          <cell r="D611" t="str">
            <v>Carpenter</v>
          </cell>
        </row>
        <row r="612">
          <cell r="A612" t="str">
            <v>2143489207</v>
          </cell>
          <cell r="B612" t="str">
            <v>Bashar Obied</v>
          </cell>
          <cell r="C612" t="str">
            <v>ALMABANI CONT.</v>
          </cell>
          <cell r="D612" t="str">
            <v>Cm</v>
          </cell>
        </row>
        <row r="613">
          <cell r="A613" t="str">
            <v>2271058923</v>
          </cell>
          <cell r="B613" t="str">
            <v>Basharat Ali</v>
          </cell>
          <cell r="C613" t="str">
            <v>BUILDING ROOTS</v>
          </cell>
          <cell r="D613" t="str">
            <v>Foreman</v>
          </cell>
        </row>
        <row r="614">
          <cell r="A614" t="str">
            <v>2575787656</v>
          </cell>
          <cell r="B614" t="str">
            <v>Basheer ahmad</v>
          </cell>
          <cell r="C614" t="str">
            <v>BUILDING ROOTS</v>
          </cell>
          <cell r="D614" t="str">
            <v>Carpenter</v>
          </cell>
        </row>
        <row r="615">
          <cell r="A615" t="str">
            <v>2543355628</v>
          </cell>
          <cell r="B615" t="str">
            <v>Bashir Ahmad</v>
          </cell>
          <cell r="C615" t="str">
            <v>ELITE HEART</v>
          </cell>
          <cell r="D615" t="str">
            <v>Scaffolder</v>
          </cell>
        </row>
        <row r="616">
          <cell r="A616" t="str">
            <v>2560736424</v>
          </cell>
          <cell r="B616" t="str">
            <v>Bashir Sher</v>
          </cell>
          <cell r="C616" t="str">
            <v>BUILDING ROOTS</v>
          </cell>
          <cell r="D616" t="str">
            <v>Labour</v>
          </cell>
        </row>
        <row r="617">
          <cell r="A617" t="str">
            <v>2574585101</v>
          </cell>
          <cell r="B617" t="str">
            <v>Basim Khan</v>
          </cell>
          <cell r="C617" t="str">
            <v>BUILDING ROOTS</v>
          </cell>
          <cell r="D617" t="str">
            <v>Labour</v>
          </cell>
        </row>
        <row r="618">
          <cell r="A618" t="str">
            <v>2473510077</v>
          </cell>
          <cell r="B618" t="str">
            <v>Basit Ali</v>
          </cell>
          <cell r="C618" t="str">
            <v>NFT</v>
          </cell>
          <cell r="D618" t="str">
            <v>Tower Crane Operator</v>
          </cell>
        </row>
        <row r="619">
          <cell r="A619" t="str">
            <v>2599663784</v>
          </cell>
          <cell r="B619" t="str">
            <v>Bassam Shaeed</v>
          </cell>
          <cell r="C619" t="str">
            <v>ELITE HEART</v>
          </cell>
          <cell r="D619" t="str">
            <v>Foreman</v>
          </cell>
        </row>
        <row r="620">
          <cell r="A620" t="str">
            <v>2574950826</v>
          </cell>
          <cell r="B620" t="str">
            <v>Bassem</v>
          </cell>
          <cell r="C620" t="str">
            <v>SAUDI BAUER</v>
          </cell>
          <cell r="D620" t="str">
            <v>Construction Manager</v>
          </cell>
        </row>
        <row r="621">
          <cell r="A621" t="str">
            <v>1117019198</v>
          </cell>
          <cell r="B621" t="str">
            <v>Bassem Ali</v>
          </cell>
          <cell r="C621" t="str">
            <v>SAUDI BAUER</v>
          </cell>
          <cell r="D621" t="str">
            <v>Qa / Qc</v>
          </cell>
        </row>
        <row r="622">
          <cell r="A622" t="str">
            <v>2533246787</v>
          </cell>
          <cell r="B622" t="str">
            <v>Bawa Mati</v>
          </cell>
          <cell r="C622" t="str">
            <v>QIDDIYA</v>
          </cell>
          <cell r="D622" t="str">
            <v>Director</v>
          </cell>
        </row>
        <row r="623">
          <cell r="A623" t="str">
            <v>2539105291</v>
          </cell>
          <cell r="B623" t="str">
            <v>Bayezid</v>
          </cell>
          <cell r="C623" t="str">
            <v>GLOBAL CASTLE</v>
          </cell>
          <cell r="D623" t="str">
            <v>Steel Fixer</v>
          </cell>
        </row>
        <row r="624">
          <cell r="A624" t="str">
            <v>2563967922</v>
          </cell>
          <cell r="B624" t="str">
            <v>Begam Bahadur</v>
          </cell>
          <cell r="C624" t="str">
            <v>TAMIMI</v>
          </cell>
          <cell r="D624" t="str">
            <v>Electrician</v>
          </cell>
        </row>
        <row r="625">
          <cell r="A625" t="str">
            <v>2537441061</v>
          </cell>
          <cell r="B625" t="str">
            <v>Belal Hamood</v>
          </cell>
          <cell r="C625" t="str">
            <v>BUILDING ROOTS</v>
          </cell>
          <cell r="D625" t="str">
            <v>Carpenter</v>
          </cell>
        </row>
        <row r="626">
          <cell r="A626" t="str">
            <v>2442305179</v>
          </cell>
          <cell r="B626" t="str">
            <v>Belal Mohamed</v>
          </cell>
          <cell r="C626" t="str">
            <v>BUILDING ROOTS</v>
          </cell>
          <cell r="D626" t="str">
            <v>Foreman</v>
          </cell>
        </row>
        <row r="627">
          <cell r="A627" t="str">
            <v>2577781483</v>
          </cell>
          <cell r="B627" t="str">
            <v>Belal hossen</v>
          </cell>
          <cell r="C627" t="str">
            <v>GLOBAL CASTLE</v>
          </cell>
          <cell r="D627" t="str">
            <v>Scaffolder</v>
          </cell>
        </row>
        <row r="628">
          <cell r="A628" t="str">
            <v>2529311652</v>
          </cell>
          <cell r="B628" t="str">
            <v>Bellal Hossen</v>
          </cell>
          <cell r="C628" t="str">
            <v>SAUDI BAUER</v>
          </cell>
          <cell r="D628" t="str">
            <v>Helper</v>
          </cell>
        </row>
        <row r="629">
          <cell r="A629" t="str">
            <v>2445719756</v>
          </cell>
          <cell r="B629" t="str">
            <v>Bellal Howlader</v>
          </cell>
          <cell r="C629" t="str">
            <v>GLOBAL CASTLES</v>
          </cell>
          <cell r="D629" t="str">
            <v>Foreman Carpenter</v>
          </cell>
        </row>
        <row r="630">
          <cell r="A630" t="str">
            <v>2589876610</v>
          </cell>
          <cell r="B630" t="str">
            <v>Bennydick</v>
          </cell>
          <cell r="C630" t="str">
            <v>AALICO</v>
          </cell>
          <cell r="D630" t="str">
            <v>Safety officer</v>
          </cell>
        </row>
        <row r="631">
          <cell r="A631" t="str">
            <v>2517692076</v>
          </cell>
          <cell r="B631" t="str">
            <v>Bepare Ashekur</v>
          </cell>
          <cell r="C631" t="str">
            <v>GLOBAL CASTLES</v>
          </cell>
          <cell r="D631" t="str">
            <v>Electrician</v>
          </cell>
        </row>
        <row r="632">
          <cell r="A632" t="str">
            <v>2607415193</v>
          </cell>
          <cell r="B632" t="str">
            <v>Bhulon khan</v>
          </cell>
          <cell r="C632" t="str">
            <v>BUILDING ROOTS</v>
          </cell>
          <cell r="D632" t="str">
            <v>Steel Fixer</v>
          </cell>
        </row>
        <row r="633">
          <cell r="A633" t="str">
            <v>2338909869</v>
          </cell>
          <cell r="B633" t="str">
            <v>Bilal</v>
          </cell>
          <cell r="C633" t="str">
            <v>TAMIMI</v>
          </cell>
          <cell r="D633" t="str">
            <v>A/C Technician</v>
          </cell>
        </row>
        <row r="634">
          <cell r="A634" t="str">
            <v>2524761950</v>
          </cell>
          <cell r="B634" t="str">
            <v>Bilal</v>
          </cell>
          <cell r="C634" t="str">
            <v>ELITE HEART</v>
          </cell>
          <cell r="D634" t="str">
            <v>Steel Fixer</v>
          </cell>
        </row>
        <row r="635">
          <cell r="A635" t="str">
            <v>2546003407</v>
          </cell>
          <cell r="B635" t="str">
            <v>Bilal</v>
          </cell>
          <cell r="C635" t="str">
            <v>SAUDI BAUER</v>
          </cell>
          <cell r="D635" t="str">
            <v>Surveyor</v>
          </cell>
        </row>
        <row r="636">
          <cell r="A636" t="str">
            <v>2542445032</v>
          </cell>
          <cell r="B636" t="str">
            <v>Bilal</v>
          </cell>
          <cell r="C636" t="str">
            <v>BUILDING ROOTS</v>
          </cell>
          <cell r="D636" t="str">
            <v>Steel Fixer</v>
          </cell>
        </row>
        <row r="637">
          <cell r="A637" t="str">
            <v>2625573718</v>
          </cell>
          <cell r="B637" t="str">
            <v>Bilal Abdo</v>
          </cell>
          <cell r="C637" t="str">
            <v>BUILDING ROOTS</v>
          </cell>
          <cell r="D637" t="str">
            <v>Carpenter</v>
          </cell>
        </row>
        <row r="638">
          <cell r="A638" t="str">
            <v>2611493277</v>
          </cell>
          <cell r="B638" t="str">
            <v>Bilal Ahmad</v>
          </cell>
          <cell r="C638" t="str">
            <v>BUILDING ROOTS</v>
          </cell>
          <cell r="D638" t="str">
            <v>Steel Fixer</v>
          </cell>
        </row>
        <row r="639">
          <cell r="A639" t="str">
            <v>2518057407</v>
          </cell>
          <cell r="B639" t="str">
            <v>Bilal Haider</v>
          </cell>
          <cell r="C639" t="str">
            <v>ELITE HEART</v>
          </cell>
          <cell r="D639" t="str">
            <v>Surveyor</v>
          </cell>
        </row>
        <row r="640">
          <cell r="A640" t="str">
            <v>2535732206</v>
          </cell>
          <cell r="B640" t="str">
            <v>Bilal Khan</v>
          </cell>
          <cell r="C640" t="str">
            <v>SAUDI BAUER</v>
          </cell>
          <cell r="D640" t="str">
            <v>Steel Fixer</v>
          </cell>
        </row>
        <row r="641">
          <cell r="A641" t="str">
            <v>2434005464</v>
          </cell>
          <cell r="B641" t="str">
            <v>Bilal hossain</v>
          </cell>
          <cell r="C641" t="str">
            <v>BUILDING ROOTS</v>
          </cell>
          <cell r="D641" t="str">
            <v>Scaffolder</v>
          </cell>
        </row>
        <row r="642">
          <cell r="A642" t="str">
            <v>2553518610</v>
          </cell>
          <cell r="B642" t="str">
            <v>Bilal khan</v>
          </cell>
          <cell r="C642" t="str">
            <v>GLOBAL CASTLE</v>
          </cell>
          <cell r="D642" t="str">
            <v>Steel Fixer</v>
          </cell>
        </row>
        <row r="643">
          <cell r="A643" t="str">
            <v>2545720951</v>
          </cell>
          <cell r="B643" t="str">
            <v>Billal Ahmed</v>
          </cell>
          <cell r="C643" t="str">
            <v>BUILDING ROOTS</v>
          </cell>
          <cell r="D643" t="str">
            <v>Steel Fixer</v>
          </cell>
        </row>
        <row r="644">
          <cell r="A644" t="str">
            <v>2600369652</v>
          </cell>
          <cell r="B644" t="str">
            <v>Billal Ahmed</v>
          </cell>
          <cell r="C644" t="str">
            <v>IDEA AND FLOW</v>
          </cell>
          <cell r="D644" t="str">
            <v>Carpenter</v>
          </cell>
        </row>
        <row r="645">
          <cell r="A645" t="str">
            <v>2530207675</v>
          </cell>
          <cell r="B645" t="str">
            <v>Billal Hossain</v>
          </cell>
          <cell r="C645" t="str">
            <v>JV (BBI-AGC)</v>
          </cell>
          <cell r="D645" t="str">
            <v>Rigger</v>
          </cell>
        </row>
        <row r="646">
          <cell r="A646" t="str">
            <v>2592274191</v>
          </cell>
          <cell r="B646" t="str">
            <v>Bishay</v>
          </cell>
          <cell r="C646" t="str">
            <v>GULF MARK</v>
          </cell>
          <cell r="D646" t="str">
            <v>Civil Engineer</v>
          </cell>
        </row>
        <row r="647">
          <cell r="A647" t="str">
            <v>2588569182</v>
          </cell>
          <cell r="B647" t="str">
            <v>Black</v>
          </cell>
          <cell r="C647" t="str">
            <v>QIDDIYA</v>
          </cell>
          <cell r="D647" t="str">
            <v>Director</v>
          </cell>
        </row>
        <row r="648">
          <cell r="A648" t="str">
            <v>2600430033</v>
          </cell>
          <cell r="B648" t="str">
            <v>Bollarat</v>
          </cell>
          <cell r="C648" t="str">
            <v>BUILDING ROOTS</v>
          </cell>
          <cell r="D648" t="str">
            <v>Steel Fixer</v>
          </cell>
        </row>
        <row r="649">
          <cell r="A649" t="str">
            <v>2522967955</v>
          </cell>
          <cell r="B649" t="str">
            <v>Borhan Uddin</v>
          </cell>
          <cell r="C649" t="str">
            <v>GLOBAL CASTLES</v>
          </cell>
          <cell r="D649" t="str">
            <v>Rigger 3</v>
          </cell>
        </row>
        <row r="650">
          <cell r="A650" t="str">
            <v>2525533075</v>
          </cell>
          <cell r="B650" t="str">
            <v>Brijesh Kumar</v>
          </cell>
          <cell r="C650" t="str">
            <v>ALMABANI CONT.</v>
          </cell>
          <cell r="D650" t="str">
            <v>Gypsum Carpenter</v>
          </cell>
        </row>
        <row r="651">
          <cell r="A651" t="str">
            <v>2449768437</v>
          </cell>
          <cell r="B651" t="str">
            <v>Bukayal</v>
          </cell>
          <cell r="C651" t="str">
            <v>BUILDING ROOTS</v>
          </cell>
          <cell r="D651" t="str">
            <v>Carpenter</v>
          </cell>
        </row>
        <row r="652">
          <cell r="A652" t="str">
            <v>2528877000</v>
          </cell>
          <cell r="B652" t="str">
            <v>Burhan Ali</v>
          </cell>
          <cell r="C652" t="str">
            <v>ELITE HEART</v>
          </cell>
          <cell r="D652" t="str">
            <v>Steel Fixer</v>
          </cell>
        </row>
        <row r="653">
          <cell r="A653" t="str">
            <v>2300884232</v>
          </cell>
          <cell r="B653" t="str">
            <v>Carlo</v>
          </cell>
          <cell r="C653" t="str">
            <v>ALMABANI CONT.</v>
          </cell>
          <cell r="D653" t="str">
            <v>Visitor</v>
          </cell>
        </row>
        <row r="654">
          <cell r="A654" t="str">
            <v>2344007725</v>
          </cell>
          <cell r="B654" t="str">
            <v>Cesar Condino</v>
          </cell>
          <cell r="C654" t="str">
            <v>ALMABANI CONT.</v>
          </cell>
          <cell r="D654" t="str">
            <v>Team Leader Welder</v>
          </cell>
        </row>
        <row r="655">
          <cell r="A655" t="str">
            <v>2332601273</v>
          </cell>
          <cell r="B655" t="str">
            <v>Chandrahas singh</v>
          </cell>
          <cell r="C655" t="str">
            <v>JV Rental</v>
          </cell>
          <cell r="D655" t="str">
            <v>Rolling driver</v>
          </cell>
        </row>
        <row r="656">
          <cell r="A656" t="str">
            <v>2547736328</v>
          </cell>
          <cell r="B656" t="str">
            <v>Chodhry adnan</v>
          </cell>
          <cell r="C656" t="str">
            <v>BUILDING ROOTS</v>
          </cell>
          <cell r="D656" t="str">
            <v>Steel Fixer</v>
          </cell>
        </row>
        <row r="657">
          <cell r="A657" t="str">
            <v>2540035108</v>
          </cell>
          <cell r="B657" t="str">
            <v>Clavio albasis</v>
          </cell>
          <cell r="C657" t="str">
            <v>Qiddiya</v>
          </cell>
          <cell r="D657" t="str">
            <v>QiC videographer</v>
          </cell>
        </row>
        <row r="658">
          <cell r="A658" t="str">
            <v>2595982980</v>
          </cell>
          <cell r="B658" t="str">
            <v>Dabbe Mia</v>
          </cell>
          <cell r="C658" t="str">
            <v>BUILDING ROOTS</v>
          </cell>
          <cell r="D658" t="str">
            <v>Scaffolder</v>
          </cell>
        </row>
        <row r="659">
          <cell r="A659" t="str">
            <v>1127256145</v>
          </cell>
          <cell r="B659" t="str">
            <v>Daghesh Alqahtani</v>
          </cell>
          <cell r="C659" t="str">
            <v>AL JOHARAH</v>
          </cell>
          <cell r="D659" t="str">
            <v>Security Officer</v>
          </cell>
        </row>
        <row r="660">
          <cell r="A660" t="str">
            <v>2443091083</v>
          </cell>
          <cell r="B660" t="str">
            <v>Daif Allah Ahmed</v>
          </cell>
          <cell r="C660" t="str">
            <v>ELITE HEART</v>
          </cell>
          <cell r="D660" t="str">
            <v>Foreman</v>
          </cell>
        </row>
        <row r="661">
          <cell r="A661" t="str">
            <v>244301083</v>
          </cell>
          <cell r="B661" t="str">
            <v>Daifullah</v>
          </cell>
          <cell r="C661" t="str">
            <v>ELITE HEART</v>
          </cell>
          <cell r="D661" t="str">
            <v>Labour</v>
          </cell>
        </row>
        <row r="662">
          <cell r="A662" t="str">
            <v>2591785940</v>
          </cell>
          <cell r="B662" t="str">
            <v>Dal Bahadur</v>
          </cell>
          <cell r="C662" t="str">
            <v>SAUDI BAUER</v>
          </cell>
          <cell r="D662" t="str">
            <v>Rigger</v>
          </cell>
        </row>
        <row r="663">
          <cell r="A663" t="str">
            <v>2616166142</v>
          </cell>
          <cell r="B663" t="str">
            <v>Daniele Taguabue</v>
          </cell>
          <cell r="C663" t="str">
            <v>QIDDIYA</v>
          </cell>
          <cell r="D663" t="str">
            <v>Ass Director It Lead</v>
          </cell>
        </row>
        <row r="664">
          <cell r="A664" t="str">
            <v>2612000659</v>
          </cell>
          <cell r="B664" t="str">
            <v>Danish Mohammed</v>
          </cell>
          <cell r="C664" t="str">
            <v>ALMABANI CONT.</v>
          </cell>
          <cell r="D664" t="str">
            <v>Procurement Officer</v>
          </cell>
        </row>
        <row r="665">
          <cell r="A665" t="str">
            <v>2626595462</v>
          </cell>
          <cell r="B665" t="str">
            <v>Danish ali</v>
          </cell>
          <cell r="C665" t="str">
            <v>GLOBAL CASTLE</v>
          </cell>
          <cell r="D665" t="str">
            <v>rigger</v>
          </cell>
        </row>
        <row r="666">
          <cell r="A666" t="str">
            <v>2546627759</v>
          </cell>
          <cell r="B666" t="str">
            <v>Danish imam</v>
          </cell>
          <cell r="C666" t="str">
            <v>Cretec</v>
          </cell>
          <cell r="D666" t="str">
            <v>engineer</v>
          </cell>
        </row>
        <row r="667">
          <cell r="A667" t="str">
            <v>2543803700</v>
          </cell>
          <cell r="B667" t="str">
            <v>Darwesh Khan</v>
          </cell>
          <cell r="C667" t="str">
            <v>BUILDING ROOTS</v>
          </cell>
          <cell r="D667" t="str">
            <v>Carpenter</v>
          </cell>
        </row>
        <row r="668">
          <cell r="A668" t="str">
            <v>2601870187</v>
          </cell>
          <cell r="B668" t="str">
            <v>David Dambreville</v>
          </cell>
          <cell r="C668" t="str">
            <v>BOUYGUES CONST.</v>
          </cell>
          <cell r="D668" t="str">
            <v>Steel Structure And Façade Manager</v>
          </cell>
        </row>
        <row r="669">
          <cell r="A669" t="str">
            <v>524132925</v>
          </cell>
          <cell r="B669" t="str">
            <v>David G</v>
          </cell>
          <cell r="C669" t="str">
            <v>BOUYGUES CONST.</v>
          </cell>
          <cell r="D669" t="str">
            <v>Supervisor</v>
          </cell>
        </row>
        <row r="670">
          <cell r="A670" t="str">
            <v>2597314406</v>
          </cell>
          <cell r="B670" t="str">
            <v>David sarkis</v>
          </cell>
          <cell r="C670" t="str">
            <v>Qiddiya</v>
          </cell>
          <cell r="D670" t="str">
            <v>PO</v>
          </cell>
        </row>
        <row r="671">
          <cell r="A671" t="str">
            <v>2510919414</v>
          </cell>
          <cell r="B671" t="str">
            <v>Dawood  Noman</v>
          </cell>
          <cell r="C671" t="str">
            <v>BUILDING ROOTS</v>
          </cell>
          <cell r="D671" t="str">
            <v>Carpenter</v>
          </cell>
        </row>
        <row r="672">
          <cell r="A672" t="str">
            <v>2512282167</v>
          </cell>
          <cell r="B672" t="str">
            <v>Dawood Khan</v>
          </cell>
          <cell r="C672" t="str">
            <v>BUILDING ROOTS</v>
          </cell>
          <cell r="D672" t="str">
            <v>Scaffolder</v>
          </cell>
        </row>
        <row r="673">
          <cell r="A673" t="str">
            <v>2544182609</v>
          </cell>
          <cell r="B673" t="str">
            <v>Dawood Khan</v>
          </cell>
          <cell r="C673" t="str">
            <v>GLOBAL CASTLES</v>
          </cell>
          <cell r="D673" t="str">
            <v>Scaffolder</v>
          </cell>
        </row>
        <row r="674">
          <cell r="A674" t="str">
            <v>2629504628</v>
          </cell>
          <cell r="B674" t="str">
            <v>Dawood Khan</v>
          </cell>
          <cell r="C674" t="str">
            <v>BUILDING ROOTS</v>
          </cell>
          <cell r="D674" t="str">
            <v>Steel Fixer</v>
          </cell>
        </row>
        <row r="675">
          <cell r="A675" t="str">
            <v>2626673889</v>
          </cell>
          <cell r="B675" t="str">
            <v>Dawood Khan</v>
          </cell>
          <cell r="C675" t="str">
            <v>ELITE HEART</v>
          </cell>
          <cell r="D675" t="str">
            <v>Carpenter</v>
          </cell>
        </row>
        <row r="676">
          <cell r="A676" t="str">
            <v>2576961458</v>
          </cell>
          <cell r="B676" t="str">
            <v>Dawood Mohib</v>
          </cell>
          <cell r="C676" t="str">
            <v>ELITE HEART</v>
          </cell>
          <cell r="D676" t="str">
            <v>Safety Helper</v>
          </cell>
        </row>
        <row r="677">
          <cell r="A677" t="str">
            <v>2579968195</v>
          </cell>
          <cell r="B677" t="str">
            <v>Dawood khan</v>
          </cell>
          <cell r="C677" t="str">
            <v>AALICO</v>
          </cell>
          <cell r="D677" t="str">
            <v>plumber</v>
          </cell>
        </row>
        <row r="678">
          <cell r="A678" t="str">
            <v>2631012081</v>
          </cell>
          <cell r="B678" t="str">
            <v>Dawood khan</v>
          </cell>
          <cell r="C678" t="str">
            <v>AALICO</v>
          </cell>
          <cell r="D678" t="str">
            <v>labor</v>
          </cell>
        </row>
        <row r="679">
          <cell r="A679" t="str">
            <v>2559916594</v>
          </cell>
          <cell r="B679" t="str">
            <v>Deen Islam</v>
          </cell>
          <cell r="C679" t="str">
            <v>BUILDING ROOTS</v>
          </cell>
          <cell r="D679" t="str">
            <v>Labour</v>
          </cell>
        </row>
        <row r="680">
          <cell r="A680" t="str">
            <v>2621816434</v>
          </cell>
          <cell r="B680" t="str">
            <v>Deepu thanthonikkal</v>
          </cell>
          <cell r="C680" t="str">
            <v>ALMABANI CONT.</v>
          </cell>
          <cell r="D680" t="str">
            <v>Procurement officer</v>
          </cell>
        </row>
        <row r="681">
          <cell r="A681" t="str">
            <v>25699332</v>
          </cell>
          <cell r="B681" t="str">
            <v>Delmantas brokes</v>
          </cell>
          <cell r="C681" t="str">
            <v>AALICO</v>
          </cell>
          <cell r="D681" t="str">
            <v>Head of maintenance</v>
          </cell>
        </row>
        <row r="682">
          <cell r="A682" t="str">
            <v>2581458672</v>
          </cell>
          <cell r="B682" t="str">
            <v>Devadoss Chinnaiyan</v>
          </cell>
          <cell r="C682" t="str">
            <v>BOUYGUES CONST.</v>
          </cell>
          <cell r="D682" t="str">
            <v>-</v>
          </cell>
        </row>
        <row r="683">
          <cell r="A683" t="str">
            <v>2589731872</v>
          </cell>
          <cell r="B683" t="str">
            <v>Dhiraj Mudvari</v>
          </cell>
          <cell r="C683" t="str">
            <v>BOUYGUES CONST.</v>
          </cell>
          <cell r="D683" t="str">
            <v>Site Acces Coordinator</v>
          </cell>
        </row>
        <row r="684">
          <cell r="A684" t="str">
            <v>2557222367</v>
          </cell>
          <cell r="B684" t="str">
            <v>Diego Bernadez</v>
          </cell>
          <cell r="C684" t="str">
            <v>QIDDIYA</v>
          </cell>
          <cell r="D684" t="str">
            <v>Senior Manager- Utilities</v>
          </cell>
        </row>
        <row r="685">
          <cell r="A685" t="str">
            <v>2558337878</v>
          </cell>
          <cell r="B685" t="str">
            <v>Dil Avaiz</v>
          </cell>
          <cell r="C685" t="str">
            <v>ELITE HEART</v>
          </cell>
          <cell r="D685" t="str">
            <v>Steel Fixer</v>
          </cell>
        </row>
        <row r="686">
          <cell r="A686" t="str">
            <v>2551548809</v>
          </cell>
          <cell r="B686" t="str">
            <v>Dil Faran</v>
          </cell>
          <cell r="C686" t="str">
            <v>BUILDING ROOTS</v>
          </cell>
          <cell r="D686" t="str">
            <v>Carpenter</v>
          </cell>
        </row>
        <row r="687">
          <cell r="A687" t="str">
            <v>2499807937</v>
          </cell>
          <cell r="B687" t="str">
            <v>Dil Mohammad</v>
          </cell>
          <cell r="C687" t="str">
            <v>GLOBAL CASTLES</v>
          </cell>
          <cell r="D687" t="str">
            <v>Electrician</v>
          </cell>
        </row>
        <row r="688">
          <cell r="A688" t="str">
            <v>2629533357</v>
          </cell>
          <cell r="B688" t="str">
            <v>Dilawar Khan</v>
          </cell>
          <cell r="C688" t="str">
            <v>BUILDING ROOTS</v>
          </cell>
          <cell r="D688" t="str">
            <v>Labour</v>
          </cell>
        </row>
        <row r="689">
          <cell r="A689" t="str">
            <v>2548136790</v>
          </cell>
          <cell r="B689" t="str">
            <v>Dilbar Khan</v>
          </cell>
          <cell r="C689" t="str">
            <v>BUILDING ROOTS</v>
          </cell>
          <cell r="D689" t="str">
            <v>Carpenter</v>
          </cell>
        </row>
        <row r="690">
          <cell r="A690" t="str">
            <v>2594996858</v>
          </cell>
          <cell r="B690" t="str">
            <v>Dilbaz Khan</v>
          </cell>
          <cell r="C690" t="str">
            <v>BUILDING ROOTS</v>
          </cell>
          <cell r="D690" t="str">
            <v>Labour</v>
          </cell>
        </row>
        <row r="691">
          <cell r="A691" t="str">
            <v>2611743358</v>
          </cell>
          <cell r="B691" t="str">
            <v>Dilbaz Khan</v>
          </cell>
          <cell r="C691" t="str">
            <v>SAUDI BAUER</v>
          </cell>
          <cell r="D691" t="str">
            <v>Helper</v>
          </cell>
        </row>
        <row r="692">
          <cell r="A692" t="str">
            <v>2527018622</v>
          </cell>
          <cell r="B692" t="str">
            <v>Dildar Khan</v>
          </cell>
          <cell r="C692" t="str">
            <v>ARABIAN TOWER</v>
          </cell>
          <cell r="D692" t="str">
            <v>Erector</v>
          </cell>
        </row>
        <row r="693">
          <cell r="A693" t="str">
            <v>2303930651</v>
          </cell>
          <cell r="B693" t="str">
            <v>Dilip Bhagat</v>
          </cell>
          <cell r="C693" t="str">
            <v>BUILDING ROOTS</v>
          </cell>
          <cell r="D693" t="str">
            <v>Labour</v>
          </cell>
        </row>
        <row r="694">
          <cell r="A694" t="str">
            <v>2593836584</v>
          </cell>
          <cell r="B694" t="str">
            <v>Dilshad</v>
          </cell>
          <cell r="C694" t="str">
            <v>SAUDI ENVIROZONE</v>
          </cell>
          <cell r="D694" t="str">
            <v>Technician</v>
          </cell>
        </row>
        <row r="695">
          <cell r="A695" t="str">
            <v>2168122980</v>
          </cell>
          <cell r="B695" t="str">
            <v>Dilshad Khan</v>
          </cell>
          <cell r="C695" t="str">
            <v>TAMIMI</v>
          </cell>
          <cell r="D695" t="str">
            <v>Electrician</v>
          </cell>
        </row>
        <row r="696">
          <cell r="A696" t="str">
            <v>2615066855</v>
          </cell>
          <cell r="B696" t="str">
            <v>Din Islam</v>
          </cell>
          <cell r="C696" t="str">
            <v>ELITE HEART</v>
          </cell>
          <cell r="D696" t="str">
            <v>Labour</v>
          </cell>
        </row>
        <row r="697">
          <cell r="A697" t="str">
            <v>2357120571</v>
          </cell>
          <cell r="B697" t="str">
            <v>Dinesh Kumar</v>
          </cell>
          <cell r="C697" t="str">
            <v>GLOBAL CASTLES</v>
          </cell>
          <cell r="D697" t="str">
            <v>Labour</v>
          </cell>
        </row>
        <row r="698">
          <cell r="A698" t="str">
            <v>2554922282</v>
          </cell>
          <cell r="B698" t="str">
            <v>Dineshwar</v>
          </cell>
          <cell r="C698" t="str">
            <v>TAMIMI</v>
          </cell>
          <cell r="D698" t="str">
            <v>Painter</v>
          </cell>
        </row>
        <row r="699">
          <cell r="A699" t="str">
            <v>2564885503</v>
          </cell>
          <cell r="B699" t="str">
            <v>Donald Masurentus</v>
          </cell>
          <cell r="C699" t="str">
            <v>BOUYGUES CONST.</v>
          </cell>
          <cell r="D699" t="str">
            <v>Qc Manager</v>
          </cell>
        </row>
        <row r="700">
          <cell r="A700" t="str">
            <v>2552209872</v>
          </cell>
          <cell r="B700" t="str">
            <v>Dulatbaset</v>
          </cell>
          <cell r="C700" t="str">
            <v>BUILDING ROOTS</v>
          </cell>
          <cell r="D700" t="str">
            <v>Carpenter</v>
          </cell>
        </row>
        <row r="701">
          <cell r="A701" t="str">
            <v>2258747982</v>
          </cell>
          <cell r="B701" t="str">
            <v>Durdyyou Dovlet</v>
          </cell>
          <cell r="C701" t="str">
            <v>BOUYGUES CONST.</v>
          </cell>
          <cell r="D701" t="str">
            <v>Deputy Surveyor</v>
          </cell>
        </row>
        <row r="702">
          <cell r="A702" t="str">
            <v>2557976905</v>
          </cell>
          <cell r="B702" t="str">
            <v>Duryal Khan</v>
          </cell>
          <cell r="C702" t="str">
            <v>ELITE HEART</v>
          </cell>
          <cell r="D702" t="str">
            <v>Scaffolder</v>
          </cell>
        </row>
        <row r="703">
          <cell r="A703" t="str">
            <v>2515562860</v>
          </cell>
          <cell r="B703" t="str">
            <v>Ebrahim</v>
          </cell>
          <cell r="C703" t="str">
            <v>BUILDING ROOTS</v>
          </cell>
          <cell r="D703" t="str">
            <v>Carpenter</v>
          </cell>
        </row>
        <row r="704">
          <cell r="A704" t="str">
            <v>2521107777</v>
          </cell>
          <cell r="B704" t="str">
            <v>Ebrahim</v>
          </cell>
          <cell r="C704" t="str">
            <v>VEOLIA</v>
          </cell>
          <cell r="D704" t="str">
            <v>Technician</v>
          </cell>
        </row>
        <row r="705">
          <cell r="A705" t="str">
            <v>2361662584</v>
          </cell>
          <cell r="B705" t="str">
            <v>Eduardo</v>
          </cell>
          <cell r="C705" t="str">
            <v>ALMABANI CONT.</v>
          </cell>
          <cell r="D705" t="str">
            <v>Steel Fixer</v>
          </cell>
        </row>
        <row r="706">
          <cell r="A706" t="str">
            <v>2487842052</v>
          </cell>
          <cell r="B706" t="str">
            <v>Eduardo</v>
          </cell>
          <cell r="C706" t="str">
            <v>ALMABANI CONT.</v>
          </cell>
          <cell r="D706" t="str">
            <v>plasterer</v>
          </cell>
        </row>
        <row r="707">
          <cell r="A707" t="str">
            <v>143567976</v>
          </cell>
          <cell r="B707" t="str">
            <v>Edwin</v>
          </cell>
          <cell r="C707" t="str">
            <v>POPULOUS</v>
          </cell>
          <cell r="D707" t="str">
            <v>Senior Director</v>
          </cell>
        </row>
        <row r="708">
          <cell r="A708" t="str">
            <v>2527884577</v>
          </cell>
          <cell r="B708" t="str">
            <v>Edwin</v>
          </cell>
          <cell r="C708" t="str">
            <v>JV (BBI-AGC)</v>
          </cell>
          <cell r="D708" t="str">
            <v>Quantity Surveyor</v>
          </cell>
        </row>
        <row r="709">
          <cell r="A709" t="str">
            <v>2314469723</v>
          </cell>
          <cell r="B709" t="str">
            <v>Ehab</v>
          </cell>
          <cell r="C709" t="str">
            <v>GULF MARK</v>
          </cell>
          <cell r="D709" t="str">
            <v>Coo</v>
          </cell>
        </row>
        <row r="710">
          <cell r="A710" t="str">
            <v>2305962389</v>
          </cell>
          <cell r="B710" t="str">
            <v>Ehab Hamoud</v>
          </cell>
          <cell r="C710" t="str">
            <v>OMAS</v>
          </cell>
          <cell r="D710" t="str">
            <v>Generator Technician</v>
          </cell>
        </row>
        <row r="711">
          <cell r="A711" t="str">
            <v>2587453610</v>
          </cell>
          <cell r="B711" t="str">
            <v>Ehab Mohammed</v>
          </cell>
          <cell r="C711" t="str">
            <v>BUILDING ROOTS</v>
          </cell>
          <cell r="D711" t="str">
            <v>Carpenter</v>
          </cell>
        </row>
        <row r="712">
          <cell r="A712" t="str">
            <v>2608962490</v>
          </cell>
          <cell r="B712" t="str">
            <v>Ehtisham Ali</v>
          </cell>
          <cell r="C712" t="str">
            <v>BUILDING ROOTS</v>
          </cell>
          <cell r="D712" t="str">
            <v>Steel Fixer</v>
          </cell>
        </row>
        <row r="713">
          <cell r="A713" t="str">
            <v>2616349151</v>
          </cell>
          <cell r="B713" t="str">
            <v>Ehtishom Khan</v>
          </cell>
          <cell r="C713" t="str">
            <v>ARABIAN TOWER</v>
          </cell>
          <cell r="D713" t="str">
            <v>Erector</v>
          </cell>
        </row>
        <row r="714">
          <cell r="A714" t="str">
            <v>1115617613</v>
          </cell>
          <cell r="B714" t="str">
            <v>Eissa Khudair</v>
          </cell>
          <cell r="C714" t="str">
            <v>BOUYGUES CONST.</v>
          </cell>
          <cell r="D714" t="str">
            <v>Civil Engineer</v>
          </cell>
        </row>
        <row r="715">
          <cell r="A715" t="str">
            <v>2567066606</v>
          </cell>
          <cell r="B715" t="str">
            <v>Eissa mohammed</v>
          </cell>
          <cell r="C715" t="str">
            <v>BUILDING ROOTS</v>
          </cell>
          <cell r="D715" t="str">
            <v>Carpenter</v>
          </cell>
        </row>
        <row r="716">
          <cell r="A716" t="str">
            <v>2376592982</v>
          </cell>
          <cell r="B716" t="str">
            <v>Elbert</v>
          </cell>
          <cell r="C716" t="str">
            <v>ALMABANI CONT.</v>
          </cell>
          <cell r="D716" t="str">
            <v>Rigger</v>
          </cell>
        </row>
        <row r="717">
          <cell r="A717" t="str">
            <v>2586920049</v>
          </cell>
          <cell r="B717" t="str">
            <v>Elghamry</v>
          </cell>
          <cell r="C717" t="str">
            <v>BUILDING ROOTS</v>
          </cell>
          <cell r="D717" t="str">
            <v>Carpenter</v>
          </cell>
        </row>
        <row r="718">
          <cell r="A718" t="str">
            <v>2576920049</v>
          </cell>
          <cell r="B718" t="str">
            <v>Elghanry</v>
          </cell>
          <cell r="C718" t="str">
            <v>BUILDING ROOTS</v>
          </cell>
          <cell r="D718" t="str">
            <v>Carpenter</v>
          </cell>
        </row>
        <row r="719">
          <cell r="A719" t="str">
            <v>2523819957</v>
          </cell>
          <cell r="B719" t="str">
            <v>Elie Abikhalil</v>
          </cell>
          <cell r="C719" t="str">
            <v>QIDDIYA</v>
          </cell>
          <cell r="D719" t="str">
            <v>Construction Logistic</v>
          </cell>
        </row>
        <row r="720">
          <cell r="A720" t="str">
            <v>2553434024</v>
          </cell>
          <cell r="B720" t="str">
            <v>Elie Fayad</v>
          </cell>
          <cell r="C720" t="str">
            <v>ALMABANI CONT.</v>
          </cell>
          <cell r="D720" t="str">
            <v>Construction Manager Elec</v>
          </cell>
        </row>
        <row r="721">
          <cell r="A721" t="str">
            <v>2548617857</v>
          </cell>
          <cell r="B721" t="str">
            <v>Elie al beyrouthy</v>
          </cell>
          <cell r="C721" t="str">
            <v>ALMABANI CONT.</v>
          </cell>
          <cell r="D721" t="str">
            <v>Architect</v>
          </cell>
        </row>
        <row r="722">
          <cell r="A722" t="str">
            <v>2555558127</v>
          </cell>
          <cell r="B722" t="str">
            <v>Elsaid</v>
          </cell>
          <cell r="C722" t="str">
            <v>ALMABANI CONT.</v>
          </cell>
          <cell r="D722" t="str">
            <v>Surveyor</v>
          </cell>
        </row>
        <row r="723">
          <cell r="A723" t="str">
            <v>2566521056</v>
          </cell>
          <cell r="B723" t="str">
            <v>Emad Mohammed</v>
          </cell>
          <cell r="C723" t="str">
            <v>BUILDING ROOTS</v>
          </cell>
          <cell r="D723" t="str">
            <v>Carpenter</v>
          </cell>
        </row>
        <row r="724">
          <cell r="A724" t="str">
            <v>2360598409</v>
          </cell>
          <cell r="B724" t="str">
            <v>Emad Saad</v>
          </cell>
          <cell r="C724" t="str">
            <v>BUILDING ROOTS</v>
          </cell>
          <cell r="D724" t="str">
            <v>Foreman</v>
          </cell>
        </row>
        <row r="725">
          <cell r="A725" t="str">
            <v>2623151913</v>
          </cell>
          <cell r="B725" t="str">
            <v>Emad qaid</v>
          </cell>
          <cell r="C725" t="str">
            <v>AALICO</v>
          </cell>
          <cell r="D725" t="str">
            <v>Manlift operator</v>
          </cell>
        </row>
        <row r="726">
          <cell r="A726" t="str">
            <v>2618711903</v>
          </cell>
          <cell r="B726" t="str">
            <v>Emadehdin Ali</v>
          </cell>
          <cell r="C726" t="str">
            <v>BUILDING ROOTS</v>
          </cell>
          <cell r="D726" t="str">
            <v>Storekeeper</v>
          </cell>
        </row>
        <row r="727">
          <cell r="A727" t="str">
            <v>2613078233</v>
          </cell>
          <cell r="B727" t="str">
            <v>Emadul</v>
          </cell>
          <cell r="C727" t="str">
            <v>BUILDING ROOTS</v>
          </cell>
          <cell r="D727" t="str">
            <v>Scaffolder</v>
          </cell>
        </row>
        <row r="728">
          <cell r="A728" t="str">
            <v>2516590029</v>
          </cell>
          <cell r="B728" t="str">
            <v>Emran</v>
          </cell>
          <cell r="C728" t="str">
            <v>ULMA - SMC</v>
          </cell>
          <cell r="D728" t="str">
            <v>Welder</v>
          </cell>
        </row>
        <row r="729">
          <cell r="A729" t="str">
            <v>2595041894</v>
          </cell>
          <cell r="B729" t="str">
            <v>Esan Ur Rehman</v>
          </cell>
          <cell r="C729" t="str">
            <v>BUILDING ROOTS</v>
          </cell>
          <cell r="D729" t="str">
            <v>Steel Fixer</v>
          </cell>
        </row>
        <row r="730">
          <cell r="A730" t="str">
            <v>2634994251</v>
          </cell>
          <cell r="B730" t="str">
            <v>Esef gungor</v>
          </cell>
          <cell r="C730" t="str">
            <v>ZAMIL STEEL</v>
          </cell>
          <cell r="D730" t="str">
            <v>surveyor chief</v>
          </cell>
        </row>
        <row r="731">
          <cell r="A731" t="str">
            <v>2541610677</v>
          </cell>
          <cell r="B731" t="str">
            <v>Essa</v>
          </cell>
          <cell r="C731" t="str">
            <v>NOUR AL HADAF</v>
          </cell>
          <cell r="D731" t="str">
            <v>Painter</v>
          </cell>
        </row>
        <row r="732">
          <cell r="A732" t="str">
            <v>2632729220</v>
          </cell>
          <cell r="B732" t="str">
            <v>Eyad marwan</v>
          </cell>
          <cell r="C732" t="str">
            <v>BUILDING ROOTS</v>
          </cell>
          <cell r="D732" t="str">
            <v>Carpenter</v>
          </cell>
        </row>
        <row r="733">
          <cell r="A733" t="str">
            <v>2583752239</v>
          </cell>
          <cell r="B733" t="str">
            <v>Ezaldeen Najjar</v>
          </cell>
          <cell r="C733" t="str">
            <v>POPULOUS</v>
          </cell>
          <cell r="D733" t="str">
            <v>Electrical Associate</v>
          </cell>
        </row>
        <row r="734">
          <cell r="A734" t="str">
            <v>2620107462</v>
          </cell>
          <cell r="B734" t="str">
            <v>Ezzadeen</v>
          </cell>
          <cell r="C734" t="str">
            <v>BUILDING ROOTS</v>
          </cell>
          <cell r="D734" t="str">
            <v>Carpenter</v>
          </cell>
        </row>
        <row r="735">
          <cell r="A735" t="str">
            <v>2620107482</v>
          </cell>
          <cell r="B735" t="str">
            <v>Ezzaideen</v>
          </cell>
          <cell r="C735" t="str">
            <v>BUILDING ROOTS</v>
          </cell>
          <cell r="D735" t="str">
            <v>Carpenter</v>
          </cell>
        </row>
        <row r="736">
          <cell r="A736" t="str">
            <v>2391047095</v>
          </cell>
          <cell r="B736" t="str">
            <v>Ezzeldin Ahmed</v>
          </cell>
          <cell r="C736" t="str">
            <v>ZAMIL STEEL</v>
          </cell>
          <cell r="D736" t="str">
            <v>Qa / Qc Manager</v>
          </cell>
        </row>
        <row r="737">
          <cell r="A737" t="str">
            <v>2561775616</v>
          </cell>
          <cell r="B737" t="str">
            <v>Fabio Puizzoh</v>
          </cell>
          <cell r="C737" t="str">
            <v>POPULOUS</v>
          </cell>
          <cell r="D737" t="str">
            <v>Construction Lead</v>
          </cell>
        </row>
        <row r="738">
          <cell r="A738" t="str">
            <v>2626282259</v>
          </cell>
          <cell r="B738" t="str">
            <v>Fadhi Ali</v>
          </cell>
          <cell r="C738" t="str">
            <v>BUILDING ROOTS</v>
          </cell>
          <cell r="D738" t="str">
            <v>Carpenter</v>
          </cell>
        </row>
        <row r="739">
          <cell r="A739" t="str">
            <v>2568500082</v>
          </cell>
          <cell r="B739" t="str">
            <v>Fadhil muhammed</v>
          </cell>
          <cell r="C739" t="str">
            <v>BUILDING ROOTS</v>
          </cell>
          <cell r="D739" t="str">
            <v>Carpenter</v>
          </cell>
        </row>
        <row r="740">
          <cell r="A740" t="str">
            <v>2559453648</v>
          </cell>
          <cell r="B740" t="str">
            <v>Fado Abdelhadi</v>
          </cell>
          <cell r="C740" t="str">
            <v>ALMABANI CONT.</v>
          </cell>
          <cell r="D740" t="str">
            <v>Infrsructure Mngr</v>
          </cell>
        </row>
        <row r="741">
          <cell r="A741" t="str">
            <v>2591595554</v>
          </cell>
          <cell r="B741" t="str">
            <v>Fahad iqbal</v>
          </cell>
          <cell r="C741" t="str">
            <v>ELITE HEART</v>
          </cell>
          <cell r="D741" t="str">
            <v>Hse Officer</v>
          </cell>
        </row>
        <row r="742">
          <cell r="A742" t="str">
            <v>2617765967</v>
          </cell>
          <cell r="B742" t="str">
            <v>Faheem</v>
          </cell>
          <cell r="C742" t="str">
            <v>ELITE HEART</v>
          </cell>
          <cell r="D742" t="str">
            <v>Foreman</v>
          </cell>
        </row>
        <row r="743">
          <cell r="A743" t="str">
            <v>2542991076</v>
          </cell>
          <cell r="B743" t="str">
            <v>Faheem</v>
          </cell>
          <cell r="C743" t="str">
            <v>UNITED GULF</v>
          </cell>
          <cell r="D743" t="str">
            <v>Carpenter</v>
          </cell>
        </row>
        <row r="744">
          <cell r="A744" t="str">
            <v>2602251858</v>
          </cell>
          <cell r="B744" t="str">
            <v>Faheem Ahmed</v>
          </cell>
          <cell r="C744" t="str">
            <v>BUILDING ROOTS</v>
          </cell>
          <cell r="D744" t="str">
            <v>Carpenter</v>
          </cell>
        </row>
        <row r="745">
          <cell r="A745" t="str">
            <v>25563534</v>
          </cell>
          <cell r="B745" t="str">
            <v>Faheem Aslam</v>
          </cell>
          <cell r="C745" t="str">
            <v>TAMIMI</v>
          </cell>
          <cell r="D745" t="str">
            <v>Civil Engineer</v>
          </cell>
        </row>
        <row r="746">
          <cell r="A746" t="str">
            <v>2538653870</v>
          </cell>
          <cell r="B746" t="str">
            <v>Faheem Khan</v>
          </cell>
          <cell r="C746" t="str">
            <v>BUILDING ROOTS</v>
          </cell>
          <cell r="D746" t="str">
            <v>Inspector Scaffolder</v>
          </cell>
        </row>
        <row r="747">
          <cell r="A747" t="str">
            <v>2608444457</v>
          </cell>
          <cell r="B747" t="str">
            <v>Faheem Ullah</v>
          </cell>
          <cell r="C747" t="str">
            <v>BUILDING ROOTS</v>
          </cell>
          <cell r="D747" t="str">
            <v>Carpenter</v>
          </cell>
        </row>
        <row r="748">
          <cell r="A748" t="str">
            <v>2531549521</v>
          </cell>
          <cell r="B748" t="str">
            <v>Fahid Ali</v>
          </cell>
          <cell r="C748" t="str">
            <v>GLOBAL CASTLES</v>
          </cell>
          <cell r="D748" t="str">
            <v>Supervisor</v>
          </cell>
        </row>
        <row r="749">
          <cell r="A749" t="str">
            <v>2527874875</v>
          </cell>
          <cell r="B749" t="str">
            <v>Fahim Abdo</v>
          </cell>
          <cell r="C749" t="str">
            <v>BUILDING ROOTS</v>
          </cell>
          <cell r="D749" t="str">
            <v>Carpenter</v>
          </cell>
        </row>
        <row r="750">
          <cell r="A750" t="str">
            <v>2608843997</v>
          </cell>
          <cell r="B750" t="str">
            <v>Fahim Ahmed</v>
          </cell>
          <cell r="C750" t="str">
            <v>ELITE HEART</v>
          </cell>
          <cell r="D750" t="str">
            <v>Boom Truck Operator</v>
          </cell>
        </row>
        <row r="751">
          <cell r="A751" t="str">
            <v>2528536002</v>
          </cell>
          <cell r="B751" t="str">
            <v>Fahim Khan</v>
          </cell>
          <cell r="C751" t="str">
            <v>BUILDING ROOTS</v>
          </cell>
          <cell r="D751" t="str">
            <v>Labour</v>
          </cell>
        </row>
        <row r="752">
          <cell r="A752" t="str">
            <v>2442989584</v>
          </cell>
          <cell r="B752" t="str">
            <v>Fahim Mohammed</v>
          </cell>
          <cell r="C752" t="str">
            <v>BUILDING ROOTS</v>
          </cell>
          <cell r="D752" t="str">
            <v>Carpenter</v>
          </cell>
        </row>
        <row r="753">
          <cell r="A753" t="str">
            <v>2611168465</v>
          </cell>
          <cell r="B753" t="str">
            <v>Fahim abdul</v>
          </cell>
          <cell r="C753" t="str">
            <v>BUILDING ROOTS</v>
          </cell>
          <cell r="D753" t="str">
            <v>Carpenter</v>
          </cell>
        </row>
        <row r="754">
          <cell r="A754" t="str">
            <v>2628919819</v>
          </cell>
          <cell r="B754" t="str">
            <v>Fahim reza</v>
          </cell>
          <cell r="C754" t="str">
            <v>UNIBETON</v>
          </cell>
          <cell r="D754" t="str">
            <v>Site technician</v>
          </cell>
        </row>
        <row r="755">
          <cell r="A755" t="str">
            <v>2613318316</v>
          </cell>
          <cell r="B755" t="str">
            <v>Faisal</v>
          </cell>
          <cell r="C755" t="str">
            <v>ELITE HEART</v>
          </cell>
          <cell r="D755" t="str">
            <v>Steel Fixer</v>
          </cell>
        </row>
        <row r="756">
          <cell r="A756" t="str">
            <v>1116746668</v>
          </cell>
          <cell r="B756" t="str">
            <v>Faisal</v>
          </cell>
          <cell r="C756" t="str">
            <v>BOUYGUES CONST.</v>
          </cell>
          <cell r="D756" t="str">
            <v>Quantity Surveyor</v>
          </cell>
        </row>
        <row r="757">
          <cell r="A757" t="str">
            <v>2621712245</v>
          </cell>
          <cell r="B757" t="str">
            <v>Faisal Ali</v>
          </cell>
          <cell r="C757" t="str">
            <v>BUILDING ROOTS</v>
          </cell>
          <cell r="D757" t="str">
            <v>Steel Fixer</v>
          </cell>
        </row>
        <row r="758">
          <cell r="A758" t="str">
            <v>1132661834</v>
          </cell>
          <cell r="B758" t="str">
            <v>Faisal Alotaibi</v>
          </cell>
          <cell r="C758" t="str">
            <v>AL JOHARAH</v>
          </cell>
          <cell r="D758" t="str">
            <v>Security Officer</v>
          </cell>
        </row>
        <row r="759">
          <cell r="A759" t="str">
            <v>2599716244</v>
          </cell>
          <cell r="B759" t="str">
            <v>Faisal Imran</v>
          </cell>
          <cell r="C759" t="str">
            <v>BUILDING ROOTS</v>
          </cell>
          <cell r="D759" t="str">
            <v>Steel Fixer</v>
          </cell>
        </row>
        <row r="760">
          <cell r="A760" t="str">
            <v>2386774117</v>
          </cell>
          <cell r="B760" t="str">
            <v>Faisal Masood</v>
          </cell>
          <cell r="C760" t="str">
            <v>SAUDI BAUER</v>
          </cell>
          <cell r="D760" t="str">
            <v>Mechanical Team</v>
          </cell>
        </row>
        <row r="761">
          <cell r="A761" t="str">
            <v>2594775468</v>
          </cell>
          <cell r="B761" t="str">
            <v>Faisal Zada</v>
          </cell>
          <cell r="C761" t="str">
            <v>BUILDING ROOTS</v>
          </cell>
          <cell r="D761" t="str">
            <v>Steel Fixer</v>
          </cell>
        </row>
        <row r="762">
          <cell r="A762" t="str">
            <v>2308844998</v>
          </cell>
          <cell r="B762" t="str">
            <v>Faiz</v>
          </cell>
          <cell r="C762" t="str">
            <v>ELITE HEART</v>
          </cell>
          <cell r="D762" t="str">
            <v>Supervisor</v>
          </cell>
        </row>
        <row r="763">
          <cell r="A763" t="str">
            <v>2325383376</v>
          </cell>
          <cell r="B763" t="str">
            <v>Faiz Ahmed</v>
          </cell>
          <cell r="C763" t="str">
            <v>ELITE HEART</v>
          </cell>
          <cell r="D763" t="str">
            <v>Trailer Driver</v>
          </cell>
        </row>
        <row r="764">
          <cell r="A764" t="str">
            <v>2619666502</v>
          </cell>
          <cell r="B764" t="str">
            <v>Faiz Ali</v>
          </cell>
          <cell r="C764" t="str">
            <v>BUILDING ROOTS</v>
          </cell>
          <cell r="D764" t="str">
            <v>Carpenter</v>
          </cell>
        </row>
        <row r="765">
          <cell r="A765" t="str">
            <v>2581446214</v>
          </cell>
          <cell r="B765" t="str">
            <v>Faiz Dastagir</v>
          </cell>
          <cell r="C765" t="str">
            <v>BUILDING ROOTS</v>
          </cell>
          <cell r="D765" t="str">
            <v>Steel Fixer</v>
          </cell>
        </row>
        <row r="766">
          <cell r="A766" t="str">
            <v>2619261452</v>
          </cell>
          <cell r="B766" t="str">
            <v>Faiz Muhammad</v>
          </cell>
          <cell r="C766" t="str">
            <v>ELITE HEART</v>
          </cell>
          <cell r="D766" t="str">
            <v>Labour</v>
          </cell>
        </row>
        <row r="767">
          <cell r="A767" t="str">
            <v>2574462228</v>
          </cell>
          <cell r="B767" t="str">
            <v>Faiz Ur Rehman</v>
          </cell>
          <cell r="C767" t="str">
            <v>BUILDING ROOTS</v>
          </cell>
          <cell r="D767" t="str">
            <v>Carpenter</v>
          </cell>
        </row>
        <row r="768">
          <cell r="A768" t="str">
            <v>2271954006</v>
          </cell>
          <cell r="B768" t="str">
            <v>Faiz mohammad</v>
          </cell>
          <cell r="C768" t="str">
            <v>BUILDING ROOTS</v>
          </cell>
          <cell r="D768" t="str">
            <v>foreman</v>
          </cell>
        </row>
        <row r="769">
          <cell r="A769" t="str">
            <v>2476437443</v>
          </cell>
          <cell r="B769" t="str">
            <v>Faiz saleh</v>
          </cell>
          <cell r="C769" t="str">
            <v>BUILDING ROOTS</v>
          </cell>
          <cell r="D769" t="str">
            <v>Carpenter</v>
          </cell>
        </row>
        <row r="770">
          <cell r="A770" t="str">
            <v>2548268776</v>
          </cell>
          <cell r="B770" t="str">
            <v>Faizal Ansari</v>
          </cell>
          <cell r="C770" t="str">
            <v>JV (BBI-AGC)</v>
          </cell>
          <cell r="D770" t="str">
            <v>Training Manager</v>
          </cell>
        </row>
        <row r="771">
          <cell r="A771" t="str">
            <v>2434034548</v>
          </cell>
          <cell r="B771" t="str">
            <v>Faizan</v>
          </cell>
          <cell r="C771" t="str">
            <v>NFT</v>
          </cell>
          <cell r="D771" t="str">
            <v>Tower Crane Operator</v>
          </cell>
        </row>
        <row r="772">
          <cell r="A772" t="str">
            <v>2425961592</v>
          </cell>
          <cell r="B772" t="str">
            <v>Faizan Afzal</v>
          </cell>
          <cell r="C772" t="str">
            <v>TAMIMI</v>
          </cell>
          <cell r="D772" t="str">
            <v>Painter</v>
          </cell>
        </row>
        <row r="773">
          <cell r="A773" t="str">
            <v>2606107015</v>
          </cell>
          <cell r="B773" t="str">
            <v>Faizan Ahmed</v>
          </cell>
          <cell r="C773" t="str">
            <v>BUILDING ROOTS</v>
          </cell>
          <cell r="D773" t="str">
            <v>Drafthman</v>
          </cell>
        </row>
        <row r="774">
          <cell r="A774" t="str">
            <v>2554862470</v>
          </cell>
          <cell r="B774" t="str">
            <v>Faizan Gulzar</v>
          </cell>
          <cell r="C774" t="str">
            <v>BUILDING ROOTS</v>
          </cell>
          <cell r="D774" t="str">
            <v>Steel Fixer</v>
          </cell>
        </row>
        <row r="775">
          <cell r="A775" t="str">
            <v>2595219441</v>
          </cell>
          <cell r="B775" t="str">
            <v>Faizan Khan</v>
          </cell>
          <cell r="C775" t="str">
            <v>BUILDING ROOTS</v>
          </cell>
          <cell r="D775" t="str">
            <v>Labour</v>
          </cell>
        </row>
        <row r="776">
          <cell r="A776" t="str">
            <v>2550106989</v>
          </cell>
          <cell r="B776" t="str">
            <v>Faizan Shahid</v>
          </cell>
          <cell r="C776" t="str">
            <v>BUILDING ROOTS</v>
          </cell>
          <cell r="D776" t="str">
            <v>Rigger</v>
          </cell>
        </row>
        <row r="777">
          <cell r="A777" t="str">
            <v>2589904867</v>
          </cell>
          <cell r="B777" t="str">
            <v>Fajid khan</v>
          </cell>
          <cell r="C777" t="str">
            <v>BUILDING ROOTS</v>
          </cell>
          <cell r="D777" t="str">
            <v>labor</v>
          </cell>
        </row>
        <row r="778">
          <cell r="A778" t="str">
            <v>2621923800</v>
          </cell>
          <cell r="B778" t="str">
            <v>Fajlo Mia</v>
          </cell>
          <cell r="C778" t="str">
            <v>BUILDING ROOTS</v>
          </cell>
          <cell r="D778" t="str">
            <v>Carpenter</v>
          </cell>
        </row>
        <row r="779">
          <cell r="A779" t="str">
            <v>2230818375</v>
          </cell>
          <cell r="B779" t="str">
            <v>Fareed</v>
          </cell>
          <cell r="C779" t="str">
            <v>Cretec</v>
          </cell>
          <cell r="D779" t="str">
            <v>roofer</v>
          </cell>
        </row>
        <row r="780">
          <cell r="A780" t="str">
            <v>2256674108</v>
          </cell>
          <cell r="B780" t="str">
            <v>Fares Hazaea Abdulwasea</v>
          </cell>
          <cell r="C780" t="str">
            <v>BUILDING ROOTS</v>
          </cell>
          <cell r="D780" t="str">
            <v>Foreman</v>
          </cell>
        </row>
        <row r="781">
          <cell r="A781" t="str">
            <v>2317672257</v>
          </cell>
          <cell r="B781" t="str">
            <v>Farhad Ali</v>
          </cell>
          <cell r="C781" t="str">
            <v>ELITE HEART</v>
          </cell>
          <cell r="D781" t="str">
            <v>Scaffold Inspector</v>
          </cell>
        </row>
        <row r="782">
          <cell r="A782" t="str">
            <v>2631866692</v>
          </cell>
          <cell r="B782" t="str">
            <v>Farhad Hossain</v>
          </cell>
          <cell r="C782" t="str">
            <v>BUILDING ROOTS</v>
          </cell>
          <cell r="D782" t="str">
            <v>Steel Fixer</v>
          </cell>
        </row>
        <row r="783">
          <cell r="A783" t="str">
            <v>2632074262</v>
          </cell>
          <cell r="B783" t="str">
            <v>Farhad Ullah</v>
          </cell>
          <cell r="C783" t="str">
            <v>BUILDING ROOTS</v>
          </cell>
          <cell r="D783" t="str">
            <v>Scaffolder</v>
          </cell>
        </row>
        <row r="784">
          <cell r="A784" t="str">
            <v>2539881801</v>
          </cell>
          <cell r="B784" t="str">
            <v>Farhan</v>
          </cell>
          <cell r="C784" t="str">
            <v>BUILDING ROOTS</v>
          </cell>
          <cell r="D784" t="str">
            <v>Steel Fixer</v>
          </cell>
        </row>
        <row r="785">
          <cell r="A785" t="str">
            <v>2534881616</v>
          </cell>
          <cell r="B785" t="str">
            <v>Farhan rahmat</v>
          </cell>
          <cell r="C785" t="str">
            <v>BUILDING ROOTS</v>
          </cell>
          <cell r="D785" t="str">
            <v>Labor</v>
          </cell>
        </row>
        <row r="786">
          <cell r="A786" t="str">
            <v>2566898801</v>
          </cell>
          <cell r="B786" t="str">
            <v>Farhat Ullah</v>
          </cell>
          <cell r="C786" t="str">
            <v>BOUYGUES CONS.</v>
          </cell>
          <cell r="D786" t="str">
            <v>Tower Crane Operator</v>
          </cell>
        </row>
        <row r="787">
          <cell r="A787" t="str">
            <v>1108154335</v>
          </cell>
          <cell r="B787" t="str">
            <v>Faris Alnajjar</v>
          </cell>
          <cell r="C787" t="str">
            <v>BOUYGUES CONST.</v>
          </cell>
          <cell r="D787" t="str">
            <v>Site Supervisor</v>
          </cell>
        </row>
        <row r="788">
          <cell r="A788" t="str">
            <v>2608968364</v>
          </cell>
          <cell r="B788" t="str">
            <v>Faris Khan</v>
          </cell>
          <cell r="C788" t="str">
            <v>ELITE HEART</v>
          </cell>
          <cell r="D788" t="str">
            <v>Steel Fixer</v>
          </cell>
        </row>
        <row r="789">
          <cell r="A789" t="str">
            <v>2535673277</v>
          </cell>
          <cell r="B789" t="str">
            <v>Farman</v>
          </cell>
          <cell r="C789" t="str">
            <v>BUILDING ROOTS</v>
          </cell>
          <cell r="D789" t="str">
            <v>helper</v>
          </cell>
        </row>
        <row r="790">
          <cell r="A790" t="str">
            <v>2560318431</v>
          </cell>
          <cell r="B790" t="str">
            <v>Farman Ali</v>
          </cell>
          <cell r="C790" t="str">
            <v>GULF MARK</v>
          </cell>
          <cell r="D790" t="str">
            <v>Operator</v>
          </cell>
        </row>
        <row r="791">
          <cell r="A791" t="str">
            <v>2605578034</v>
          </cell>
          <cell r="B791" t="str">
            <v>Farman Ali</v>
          </cell>
          <cell r="C791" t="str">
            <v>GLOBAL CASTLES</v>
          </cell>
          <cell r="D791" t="str">
            <v>Steel Fixer</v>
          </cell>
        </row>
        <row r="792">
          <cell r="A792" t="str">
            <v>2381458005</v>
          </cell>
          <cell r="B792" t="str">
            <v>Farman Ullah</v>
          </cell>
          <cell r="C792" t="str">
            <v>BUILDING ROOTS</v>
          </cell>
          <cell r="D792" t="str">
            <v>Carpenter</v>
          </cell>
        </row>
        <row r="793">
          <cell r="A793" t="str">
            <v>2590985160</v>
          </cell>
          <cell r="B793" t="str">
            <v>Farman ali</v>
          </cell>
          <cell r="C793" t="str">
            <v>AALICO</v>
          </cell>
          <cell r="D793" t="str">
            <v>labor</v>
          </cell>
        </row>
        <row r="794">
          <cell r="A794" t="str">
            <v>2624947534</v>
          </cell>
          <cell r="B794" t="str">
            <v>Farmn Ullah</v>
          </cell>
          <cell r="C794" t="str">
            <v>ELITE HEART</v>
          </cell>
          <cell r="D794" t="str">
            <v>Steel Fixer</v>
          </cell>
        </row>
        <row r="795">
          <cell r="A795" t="str">
            <v>2624318982</v>
          </cell>
          <cell r="B795" t="str">
            <v>Farooq Ahmed</v>
          </cell>
          <cell r="C795" t="str">
            <v>BUILDING ROOTS</v>
          </cell>
          <cell r="D795" t="str">
            <v>Labour</v>
          </cell>
        </row>
        <row r="796">
          <cell r="A796" t="str">
            <v>2478067875</v>
          </cell>
          <cell r="B796" t="str">
            <v>Farooq Ahmed</v>
          </cell>
          <cell r="C796" t="str">
            <v>BUILDING ROOTS</v>
          </cell>
          <cell r="D796" t="str">
            <v>Carpenter</v>
          </cell>
        </row>
        <row r="797">
          <cell r="A797" t="str">
            <v>2624316982</v>
          </cell>
          <cell r="B797" t="str">
            <v>Farooq Ghabi</v>
          </cell>
          <cell r="C797" t="str">
            <v>BUILDING ROOTS</v>
          </cell>
          <cell r="D797" t="str">
            <v>Labour</v>
          </cell>
        </row>
        <row r="798">
          <cell r="A798" t="str">
            <v>2629576964</v>
          </cell>
          <cell r="B798" t="str">
            <v>Farooq khan</v>
          </cell>
          <cell r="C798" t="str">
            <v>ELITE HEART</v>
          </cell>
          <cell r="D798" t="str">
            <v>Scaffolder</v>
          </cell>
        </row>
        <row r="799">
          <cell r="A799" t="str">
            <v>2316006317</v>
          </cell>
          <cell r="B799" t="str">
            <v>Farrukh Hafeez</v>
          </cell>
          <cell r="C799" t="str">
            <v>ELITE HEART</v>
          </cell>
          <cell r="D799" t="str">
            <v>Steel Fixer</v>
          </cell>
        </row>
        <row r="800">
          <cell r="A800" t="str">
            <v>2517335606</v>
          </cell>
          <cell r="B800" t="str">
            <v>Faruk Kalam</v>
          </cell>
          <cell r="C800" t="str">
            <v>NFT</v>
          </cell>
          <cell r="D800" t="str">
            <v>Rigger 3</v>
          </cell>
        </row>
        <row r="801">
          <cell r="A801" t="str">
            <v>2499029987</v>
          </cell>
          <cell r="B801" t="str">
            <v>Faruk hussain</v>
          </cell>
          <cell r="C801" t="str">
            <v>BUILDING ROOTS</v>
          </cell>
          <cell r="D801" t="str">
            <v>Scaffolder</v>
          </cell>
        </row>
        <row r="802">
          <cell r="A802" t="str">
            <v>2593552231</v>
          </cell>
          <cell r="B802" t="str">
            <v>Farukul</v>
          </cell>
          <cell r="C802" t="str">
            <v>BUILDING ROOTS</v>
          </cell>
          <cell r="D802" t="str">
            <v>Scaffolder</v>
          </cell>
        </row>
        <row r="803">
          <cell r="A803" t="str">
            <v>2555360722</v>
          </cell>
          <cell r="B803" t="str">
            <v>Faruq</v>
          </cell>
          <cell r="C803" t="str">
            <v>GLOBAL CASTLES</v>
          </cell>
          <cell r="D803" t="str">
            <v>Foreman</v>
          </cell>
        </row>
        <row r="804">
          <cell r="A804" t="str">
            <v>2353204734</v>
          </cell>
          <cell r="B804" t="str">
            <v>Faseel</v>
          </cell>
          <cell r="C804" t="str">
            <v>BUILDING ROOTS</v>
          </cell>
          <cell r="D804" t="str">
            <v>Driver</v>
          </cell>
        </row>
        <row r="805">
          <cell r="A805" t="str">
            <v>2396828853</v>
          </cell>
          <cell r="B805" t="str">
            <v>Faujdar Briksud</v>
          </cell>
          <cell r="C805" t="str">
            <v>SAUDI BAUER</v>
          </cell>
          <cell r="D805" t="str">
            <v>Mason</v>
          </cell>
        </row>
        <row r="806">
          <cell r="A806" t="str">
            <v>2596678876</v>
          </cell>
          <cell r="B806" t="str">
            <v>Fawad Khan</v>
          </cell>
          <cell r="C806" t="str">
            <v>BUILDING ROOTS</v>
          </cell>
          <cell r="D806" t="str">
            <v>Helper</v>
          </cell>
        </row>
        <row r="807">
          <cell r="A807" t="str">
            <v>2552867778</v>
          </cell>
          <cell r="B807" t="str">
            <v>Fawad Sajid</v>
          </cell>
          <cell r="C807" t="str">
            <v>SAUDI BAUER</v>
          </cell>
          <cell r="D807" t="str">
            <v>Hse</v>
          </cell>
        </row>
        <row r="808">
          <cell r="A808" t="str">
            <v>2592815472</v>
          </cell>
          <cell r="B808" t="str">
            <v>Fawad khan</v>
          </cell>
          <cell r="C808" t="str">
            <v>ELITE HEART</v>
          </cell>
          <cell r="D808" t="str">
            <v>Scaffolder</v>
          </cell>
        </row>
        <row r="809">
          <cell r="A809" t="str">
            <v>2626636266</v>
          </cell>
          <cell r="B809" t="str">
            <v>Fawad wahab</v>
          </cell>
          <cell r="C809" t="str">
            <v>BUILDING ROOTS</v>
          </cell>
          <cell r="D809" t="str">
            <v>labor</v>
          </cell>
        </row>
        <row r="810">
          <cell r="A810" t="str">
            <v>1069705901</v>
          </cell>
          <cell r="B810" t="str">
            <v>Fawaz Ratib Al-Shammari</v>
          </cell>
          <cell r="C810" t="str">
            <v>BUILDING ROOTS</v>
          </cell>
          <cell r="D810" t="str">
            <v>General Manager</v>
          </cell>
        </row>
        <row r="811">
          <cell r="A811" t="str">
            <v>2179664202</v>
          </cell>
          <cell r="B811" t="str">
            <v>Fawzi Faisal</v>
          </cell>
          <cell r="C811" t="str">
            <v>ELITE HEART</v>
          </cell>
          <cell r="D811" t="str">
            <v>Grader Operator</v>
          </cell>
        </row>
        <row r="812">
          <cell r="A812" t="str">
            <v>2597985502</v>
          </cell>
          <cell r="B812" t="str">
            <v>Fayaj Miah</v>
          </cell>
          <cell r="C812" t="str">
            <v>BUILDING ROOTS</v>
          </cell>
          <cell r="D812" t="str">
            <v>Scaffolder</v>
          </cell>
        </row>
        <row r="813">
          <cell r="A813" t="str">
            <v>2562107124</v>
          </cell>
          <cell r="B813" t="str">
            <v>Fayaz Khan</v>
          </cell>
          <cell r="C813" t="str">
            <v>BUILDING ROOTS</v>
          </cell>
          <cell r="D813" t="str">
            <v>Steel Fixer</v>
          </cell>
        </row>
        <row r="814">
          <cell r="A814" t="str">
            <v>2546444205</v>
          </cell>
          <cell r="B814" t="str">
            <v>Fayaz Malang</v>
          </cell>
          <cell r="C814" t="str">
            <v>ELITE HEART</v>
          </cell>
          <cell r="D814" t="str">
            <v>Labour</v>
          </cell>
        </row>
        <row r="815">
          <cell r="A815" t="str">
            <v>2619988518</v>
          </cell>
          <cell r="B815" t="str">
            <v>Fazal Rahim</v>
          </cell>
          <cell r="C815" t="str">
            <v>ELITE HEART</v>
          </cell>
          <cell r="D815" t="str">
            <v>Carpenter</v>
          </cell>
        </row>
        <row r="816">
          <cell r="A816" t="str">
            <v>2576323691</v>
          </cell>
          <cell r="B816" t="str">
            <v>Fazal Rahman</v>
          </cell>
          <cell r="C816" t="str">
            <v>ELITE HEART</v>
          </cell>
          <cell r="D816" t="str">
            <v>Mason</v>
          </cell>
        </row>
        <row r="817">
          <cell r="A817" t="str">
            <v>2462553914</v>
          </cell>
          <cell r="B817" t="str">
            <v>Fazal Rehman</v>
          </cell>
          <cell r="C817" t="str">
            <v>SAUDI BAUER</v>
          </cell>
          <cell r="D817" t="str">
            <v>Bg Operator</v>
          </cell>
        </row>
        <row r="818">
          <cell r="A818" t="str">
            <v>2522740261</v>
          </cell>
          <cell r="B818" t="str">
            <v>Fazal Wahab</v>
          </cell>
          <cell r="C818" t="str">
            <v>BUILDING ROOTS</v>
          </cell>
          <cell r="D818" t="str">
            <v>Labour</v>
          </cell>
        </row>
        <row r="819">
          <cell r="A819" t="str">
            <v>2561571443</v>
          </cell>
          <cell r="B819" t="str">
            <v>Fazal Waheed</v>
          </cell>
          <cell r="C819" t="str">
            <v>BUILDING ROOTS</v>
          </cell>
          <cell r="D819" t="str">
            <v>Labour</v>
          </cell>
        </row>
        <row r="820">
          <cell r="A820" t="str">
            <v>2272478112</v>
          </cell>
          <cell r="B820" t="str">
            <v>Fazal badshah</v>
          </cell>
          <cell r="C820" t="str">
            <v>BUILDING ROOTS</v>
          </cell>
          <cell r="D820" t="str">
            <v>Steel Fixer</v>
          </cell>
        </row>
        <row r="821">
          <cell r="A821" t="str">
            <v>2618515585</v>
          </cell>
          <cell r="B821" t="str">
            <v>Fazal badshah</v>
          </cell>
          <cell r="C821" t="str">
            <v>ARABIAN TOWER</v>
          </cell>
          <cell r="D821" t="str">
            <v>Tower crane operator</v>
          </cell>
        </row>
        <row r="822">
          <cell r="A822" t="str">
            <v>2520958865</v>
          </cell>
          <cell r="B822" t="str">
            <v>Fazal wajid</v>
          </cell>
          <cell r="C822" t="str">
            <v>BUILDING ROOTS</v>
          </cell>
          <cell r="D822" t="str">
            <v>bobcat opertor</v>
          </cell>
        </row>
        <row r="823">
          <cell r="A823" t="str">
            <v>2537330389</v>
          </cell>
          <cell r="B823" t="str">
            <v>Fazle Rahman</v>
          </cell>
          <cell r="C823" t="str">
            <v>GLOBAL CASTLES</v>
          </cell>
          <cell r="D823" t="str">
            <v>Steel Fixer</v>
          </cell>
        </row>
        <row r="824">
          <cell r="A824" t="str">
            <v>2582499667</v>
          </cell>
          <cell r="B824" t="str">
            <v>Fazzi Ur Rehman</v>
          </cell>
          <cell r="C824" t="str">
            <v>BUILDING ROOTS</v>
          </cell>
          <cell r="D824" t="str">
            <v>Carpenter</v>
          </cell>
        </row>
        <row r="825">
          <cell r="A825" t="str">
            <v>2489578019</v>
          </cell>
          <cell r="B825" t="str">
            <v>Feliciano</v>
          </cell>
          <cell r="C825" t="str">
            <v>ALMABANI CONT.</v>
          </cell>
          <cell r="D825" t="str">
            <v>Foreman Carpenter</v>
          </cell>
        </row>
        <row r="826">
          <cell r="A826" t="str">
            <v>1076318482</v>
          </cell>
          <cell r="B826" t="str">
            <v>Feras Hanah</v>
          </cell>
          <cell r="C826" t="str">
            <v>BOUYGUES CONST.</v>
          </cell>
          <cell r="D826" t="str">
            <v>Procurement Specialist</v>
          </cell>
        </row>
        <row r="827">
          <cell r="A827" t="str">
            <v>2523643746</v>
          </cell>
          <cell r="B827" t="str">
            <v>Ferdush Miah</v>
          </cell>
          <cell r="C827" t="str">
            <v>JV (BBI-AGC)</v>
          </cell>
          <cell r="D827" t="str">
            <v>Labour</v>
          </cell>
        </row>
        <row r="828">
          <cell r="A828" t="str">
            <v>2567576539</v>
          </cell>
          <cell r="B828" t="str">
            <v>Feroz Khan</v>
          </cell>
          <cell r="C828" t="str">
            <v>ELITE HEART</v>
          </cell>
          <cell r="D828" t="str">
            <v>Carpenter</v>
          </cell>
        </row>
        <row r="829">
          <cell r="A829" t="str">
            <v>2602875334</v>
          </cell>
          <cell r="B829" t="str">
            <v>Fiaz Ur Rehman</v>
          </cell>
          <cell r="C829" t="str">
            <v>BUILDING ROOTS</v>
          </cell>
          <cell r="D829" t="str">
            <v>Carpenter</v>
          </cell>
        </row>
        <row r="830">
          <cell r="A830" t="str">
            <v>2538057973</v>
          </cell>
          <cell r="B830" t="str">
            <v>Fiaz muhammed</v>
          </cell>
          <cell r="C830" t="str">
            <v>BUILDING ROOTS</v>
          </cell>
          <cell r="D830" t="str">
            <v>Carpenter</v>
          </cell>
        </row>
        <row r="831">
          <cell r="A831" t="str">
            <v>2369099623</v>
          </cell>
          <cell r="B831" t="str">
            <v>Firas</v>
          </cell>
          <cell r="C831" t="str">
            <v>JV (BBI-AGC)</v>
          </cell>
          <cell r="D831" t="str">
            <v>Cm</v>
          </cell>
        </row>
        <row r="832">
          <cell r="A832" t="str">
            <v>2269308744</v>
          </cell>
          <cell r="B832" t="str">
            <v>Firoz Rahman</v>
          </cell>
          <cell r="C832" t="str">
            <v>TAMIMI</v>
          </cell>
          <cell r="D832" t="str">
            <v>A/C Tech</v>
          </cell>
        </row>
        <row r="833">
          <cell r="A833" t="str">
            <v>2617116856</v>
          </cell>
          <cell r="B833" t="str">
            <v>Foisal</v>
          </cell>
          <cell r="C833" t="str">
            <v>GLOBAL CASTLE</v>
          </cell>
          <cell r="D833" t="str">
            <v>Carpenter</v>
          </cell>
        </row>
        <row r="834">
          <cell r="A834" t="str">
            <v>2567839484</v>
          </cell>
          <cell r="B834" t="str">
            <v>Fouad Youssif</v>
          </cell>
          <cell r="C834" t="str">
            <v>Qiddiya</v>
          </cell>
          <cell r="D834" t="str">
            <v>Associate Director</v>
          </cell>
        </row>
        <row r="835">
          <cell r="A835" t="str">
            <v>2591033762</v>
          </cell>
          <cell r="B835" t="str">
            <v>Fourkan Howlader</v>
          </cell>
          <cell r="C835" t="str">
            <v>GLOBAL CASTLES</v>
          </cell>
          <cell r="D835" t="str">
            <v>Steel Fixer</v>
          </cell>
        </row>
        <row r="836">
          <cell r="A836" t="str">
            <v>2544992262</v>
          </cell>
          <cell r="B836" t="str">
            <v>Fraz Ahmed</v>
          </cell>
          <cell r="C836" t="str">
            <v>TAMIMI</v>
          </cell>
          <cell r="D836" t="str">
            <v>Carpenter</v>
          </cell>
        </row>
        <row r="837">
          <cell r="A837" t="str">
            <v>2328482787</v>
          </cell>
          <cell r="B837" t="str">
            <v>Frivado Nicolas</v>
          </cell>
          <cell r="C837" t="str">
            <v>TAMIMI</v>
          </cell>
          <cell r="D837" t="str">
            <v>Carpenter</v>
          </cell>
        </row>
        <row r="838">
          <cell r="A838" t="str">
            <v>2609362930</v>
          </cell>
          <cell r="B838" t="str">
            <v>Furqan</v>
          </cell>
          <cell r="C838" t="str">
            <v>BUILDING ROOTS</v>
          </cell>
          <cell r="D838" t="str">
            <v>Labour</v>
          </cell>
        </row>
        <row r="839">
          <cell r="A839" t="str">
            <v>2534140385</v>
          </cell>
          <cell r="B839" t="str">
            <v>Furqan</v>
          </cell>
          <cell r="C839" t="str">
            <v>ELITE HEART</v>
          </cell>
          <cell r="D839" t="str">
            <v>Carpenter</v>
          </cell>
        </row>
        <row r="840">
          <cell r="A840" t="str">
            <v>2608834376</v>
          </cell>
          <cell r="B840" t="str">
            <v>Fursan Fahd Ali</v>
          </cell>
          <cell r="C840" t="str">
            <v>BUILDING ROOTS</v>
          </cell>
          <cell r="D840" t="str">
            <v>Carpenter</v>
          </cell>
        </row>
        <row r="841">
          <cell r="A841" t="str">
            <v>2291556740</v>
          </cell>
          <cell r="B841" t="str">
            <v>Fysl Abas</v>
          </cell>
          <cell r="C841" t="str">
            <v>SAUDI BAUER</v>
          </cell>
          <cell r="D841" t="str">
            <v>Crane Operator</v>
          </cell>
        </row>
        <row r="842">
          <cell r="A842" t="str">
            <v>2616585085</v>
          </cell>
          <cell r="B842" t="str">
            <v>Gaji Miah</v>
          </cell>
          <cell r="C842" t="str">
            <v>ELITE HEART</v>
          </cell>
          <cell r="D842" t="str">
            <v>Mason</v>
          </cell>
        </row>
        <row r="843">
          <cell r="A843" t="str">
            <v>2536369388</v>
          </cell>
          <cell r="B843" t="str">
            <v>Galal Abdullah</v>
          </cell>
          <cell r="C843" t="str">
            <v>BUILDING ROOTS</v>
          </cell>
          <cell r="D843" t="str">
            <v>Carpenter</v>
          </cell>
        </row>
        <row r="844">
          <cell r="A844" t="str">
            <v>2565186042</v>
          </cell>
          <cell r="B844" t="str">
            <v>Galib</v>
          </cell>
          <cell r="C844" t="str">
            <v>-</v>
          </cell>
          <cell r="D844" t="str">
            <v>-</v>
          </cell>
        </row>
        <row r="845">
          <cell r="A845" t="str">
            <v>2577785716</v>
          </cell>
          <cell r="B845" t="str">
            <v>Gamal</v>
          </cell>
          <cell r="C845" t="str">
            <v>UNIBETON</v>
          </cell>
          <cell r="D845" t="str">
            <v>Foreman</v>
          </cell>
        </row>
        <row r="846">
          <cell r="A846" t="str">
            <v>2543003981</v>
          </cell>
          <cell r="B846" t="str">
            <v>Gamal Mohamed</v>
          </cell>
          <cell r="C846" t="str">
            <v>GLOBAL CASTLES</v>
          </cell>
          <cell r="D846" t="str">
            <v>Carpenter</v>
          </cell>
        </row>
        <row r="847">
          <cell r="A847" t="str">
            <v>2551781772</v>
          </cell>
          <cell r="B847" t="str">
            <v>Gamal Said</v>
          </cell>
          <cell r="C847" t="str">
            <v>PERI SAUDI</v>
          </cell>
          <cell r="D847" t="str">
            <v>Site Instructor</v>
          </cell>
        </row>
        <row r="848">
          <cell r="A848" t="str">
            <v>2594970259</v>
          </cell>
          <cell r="B848" t="str">
            <v>Gami Younas</v>
          </cell>
          <cell r="C848" t="str">
            <v>ELITE HEART</v>
          </cell>
          <cell r="D848" t="str">
            <v>Carpenter</v>
          </cell>
        </row>
        <row r="849">
          <cell r="A849" t="str">
            <v>2617056995</v>
          </cell>
          <cell r="B849" t="str">
            <v>Ganesh</v>
          </cell>
          <cell r="C849" t="str">
            <v>SAUDI BAUER</v>
          </cell>
          <cell r="D849" t="str">
            <v>Foreman</v>
          </cell>
        </row>
        <row r="850">
          <cell r="A850" t="str">
            <v>2611588696</v>
          </cell>
          <cell r="B850" t="str">
            <v>Garaullah Baggash</v>
          </cell>
          <cell r="C850" t="str">
            <v>BUILDING ROOTS</v>
          </cell>
          <cell r="D850" t="str">
            <v>Carpenter</v>
          </cell>
        </row>
        <row r="851">
          <cell r="A851" t="str">
            <v>2559119876</v>
          </cell>
          <cell r="B851" t="str">
            <v>Geoffroy Bieth</v>
          </cell>
          <cell r="C851" t="str">
            <v>BOUYGUES CONST.</v>
          </cell>
          <cell r="D851" t="str">
            <v>Area Manager</v>
          </cell>
        </row>
        <row r="852">
          <cell r="A852" t="str">
            <v>2374923197</v>
          </cell>
          <cell r="B852" t="str">
            <v>Georgie Farinou</v>
          </cell>
          <cell r="C852" t="str">
            <v>ALMABANI CONT.</v>
          </cell>
          <cell r="D852" t="str">
            <v>Piping Foreman</v>
          </cell>
        </row>
        <row r="853">
          <cell r="A853" t="str">
            <v>2635615400</v>
          </cell>
          <cell r="B853" t="str">
            <v>Gerald</v>
          </cell>
          <cell r="C853" t="str">
            <v>Qiddiya</v>
          </cell>
          <cell r="D853" t="str">
            <v>Senior manager</v>
          </cell>
        </row>
        <row r="854">
          <cell r="A854" t="str">
            <v>2604217634</v>
          </cell>
          <cell r="B854" t="str">
            <v>Ghafar Ali</v>
          </cell>
          <cell r="C854" t="str">
            <v>BUILDING ROOTS</v>
          </cell>
          <cell r="D854" t="str">
            <v>Steel Fixer</v>
          </cell>
        </row>
        <row r="855">
          <cell r="A855" t="str">
            <v>2386456095</v>
          </cell>
          <cell r="B855" t="str">
            <v>Ghassoub Ahmed</v>
          </cell>
          <cell r="C855" t="str">
            <v>ULMA</v>
          </cell>
          <cell r="D855" t="str">
            <v>Supervisor</v>
          </cell>
        </row>
        <row r="856">
          <cell r="A856" t="str">
            <v>2399031059</v>
          </cell>
          <cell r="B856" t="str">
            <v>Ghouse Kan</v>
          </cell>
          <cell r="C856" t="str">
            <v>HORIZON INFOMATIC</v>
          </cell>
          <cell r="D856" t="str">
            <v>Technical Engineer</v>
          </cell>
        </row>
        <row r="857">
          <cell r="A857" t="str">
            <v>2389673480</v>
          </cell>
          <cell r="B857" t="str">
            <v>Ghufran</v>
          </cell>
          <cell r="C857" t="str">
            <v>WAVES TELECOM</v>
          </cell>
          <cell r="D857" t="str">
            <v>Technician</v>
          </cell>
        </row>
        <row r="858">
          <cell r="A858" t="str">
            <v>2618086595</v>
          </cell>
          <cell r="B858" t="str">
            <v>Ghulam</v>
          </cell>
          <cell r="C858" t="str">
            <v>ELITE HEART</v>
          </cell>
          <cell r="D858" t="str">
            <v>Driver</v>
          </cell>
        </row>
        <row r="859">
          <cell r="A859" t="str">
            <v>2611476082</v>
          </cell>
          <cell r="B859" t="str">
            <v>Ghulam Awais</v>
          </cell>
          <cell r="C859" t="str">
            <v>BUILDING ROOTS</v>
          </cell>
          <cell r="D859" t="str">
            <v>Steel Fixer</v>
          </cell>
        </row>
        <row r="860">
          <cell r="A860" t="str">
            <v>2314351673</v>
          </cell>
          <cell r="B860" t="str">
            <v>Ghulam Dastgeer</v>
          </cell>
          <cell r="C860" t="str">
            <v>ALMABANI CONT.</v>
          </cell>
          <cell r="D860" t="str">
            <v>Flagman</v>
          </cell>
        </row>
        <row r="861">
          <cell r="A861" t="str">
            <v>2587273901</v>
          </cell>
          <cell r="B861" t="str">
            <v>Ghulam Dastgir</v>
          </cell>
          <cell r="C861" t="str">
            <v>BUILDING ROOTS</v>
          </cell>
          <cell r="D861" t="str">
            <v>Electrician</v>
          </cell>
        </row>
        <row r="862">
          <cell r="A862" t="str">
            <v>2589297957</v>
          </cell>
          <cell r="B862" t="str">
            <v>Ghulam Gul Roz</v>
          </cell>
          <cell r="C862" t="str">
            <v>BUILDING ROOTS</v>
          </cell>
          <cell r="D862" t="str">
            <v>Labour</v>
          </cell>
        </row>
        <row r="863">
          <cell r="A863" t="str">
            <v>2521507832</v>
          </cell>
          <cell r="B863" t="str">
            <v>Ghulam Jillani</v>
          </cell>
          <cell r="C863" t="str">
            <v>SAUDI BAUER</v>
          </cell>
          <cell r="D863" t="str">
            <v>Helper</v>
          </cell>
        </row>
        <row r="864">
          <cell r="A864" t="str">
            <v>2614497226</v>
          </cell>
          <cell r="B864" t="str">
            <v>Ghulam Murtaza</v>
          </cell>
          <cell r="C864" t="str">
            <v>BUILDING ROOTS</v>
          </cell>
          <cell r="D864" t="str">
            <v>Steel Fixer</v>
          </cell>
        </row>
        <row r="865">
          <cell r="A865" t="str">
            <v>2535888347</v>
          </cell>
          <cell r="B865" t="str">
            <v>Ghulam Murtaza</v>
          </cell>
          <cell r="C865" t="str">
            <v>ELITE HEART</v>
          </cell>
          <cell r="D865" t="str">
            <v>Steel Fixer</v>
          </cell>
        </row>
        <row r="866">
          <cell r="A866" t="str">
            <v>2301603078</v>
          </cell>
          <cell r="B866" t="str">
            <v>Ghulam Rasool</v>
          </cell>
          <cell r="C866" t="str">
            <v>IDEA AND FLOW</v>
          </cell>
          <cell r="D866" t="str">
            <v>Co Ordinator</v>
          </cell>
        </row>
        <row r="867">
          <cell r="A867" t="str">
            <v>2530718796</v>
          </cell>
          <cell r="B867" t="str">
            <v>Ghulam abbas</v>
          </cell>
          <cell r="C867" t="str">
            <v>BUILDING ROOTS</v>
          </cell>
          <cell r="D867" t="str">
            <v>Steel Fixer</v>
          </cell>
        </row>
        <row r="868">
          <cell r="A868" t="str">
            <v>2538249588</v>
          </cell>
          <cell r="B868" t="str">
            <v>Ginith Kabeer</v>
          </cell>
          <cell r="C868" t="str">
            <v>BOUYGUES CONST.</v>
          </cell>
          <cell r="D868" t="str">
            <v>Sr. Mech Eng Hptc</v>
          </cell>
        </row>
        <row r="869">
          <cell r="A869" t="str">
            <v>2512390093</v>
          </cell>
          <cell r="B869" t="str">
            <v>Gobindra Das</v>
          </cell>
          <cell r="C869" t="str">
            <v>GLOBAL CASTLES</v>
          </cell>
          <cell r="D869" t="str">
            <v>Labour</v>
          </cell>
        </row>
        <row r="870">
          <cell r="A870" t="str">
            <v>2512583259</v>
          </cell>
          <cell r="B870" t="str">
            <v>Gohar Ali</v>
          </cell>
          <cell r="C870" t="str">
            <v>SAUDI BAUER</v>
          </cell>
          <cell r="D870" t="str">
            <v>Steel Fixer</v>
          </cell>
        </row>
        <row r="871">
          <cell r="A871" t="str">
            <v>2625569393</v>
          </cell>
          <cell r="B871" t="str">
            <v>Gohar ali</v>
          </cell>
          <cell r="C871" t="str">
            <v>UNITED GULF</v>
          </cell>
          <cell r="D871" t="str">
            <v>Rigger</v>
          </cell>
        </row>
        <row r="872">
          <cell r="A872" t="str">
            <v>2578365393</v>
          </cell>
          <cell r="B872" t="str">
            <v>Gopal Prasad Paudel</v>
          </cell>
          <cell r="C872" t="str">
            <v>JV (BBI-AGC)</v>
          </cell>
          <cell r="D872" t="str">
            <v>Electrical Supervisor</v>
          </cell>
        </row>
        <row r="873">
          <cell r="A873" t="str">
            <v>6162583889</v>
          </cell>
          <cell r="B873" t="str">
            <v>Gozel Amiri</v>
          </cell>
          <cell r="C873" t="str">
            <v>BOUYGUES CONST.</v>
          </cell>
          <cell r="D873" t="str">
            <v>Hse Engineer</v>
          </cell>
        </row>
        <row r="874">
          <cell r="A874" t="str">
            <v>2610603645</v>
          </cell>
          <cell r="B874" t="str">
            <v>Guhulam Mustafa</v>
          </cell>
          <cell r="C874" t="str">
            <v>TAMIMI</v>
          </cell>
          <cell r="D874" t="str">
            <v>Carpenter</v>
          </cell>
        </row>
        <row r="875">
          <cell r="A875" t="str">
            <v>2562935292</v>
          </cell>
          <cell r="B875" t="str">
            <v>Gul Afzal</v>
          </cell>
          <cell r="C875" t="str">
            <v>BUILDING ROOTS</v>
          </cell>
          <cell r="D875" t="str">
            <v>Steel Fixer</v>
          </cell>
        </row>
        <row r="876">
          <cell r="A876" t="str">
            <v>2474117047</v>
          </cell>
          <cell r="B876" t="str">
            <v>Gul Azeem Khan</v>
          </cell>
          <cell r="C876" t="str">
            <v>AL FAL HOUSE</v>
          </cell>
          <cell r="D876" t="str">
            <v>Labour</v>
          </cell>
        </row>
        <row r="877">
          <cell r="A877" t="str">
            <v>2559228412</v>
          </cell>
          <cell r="B877" t="str">
            <v>Gul Badsha</v>
          </cell>
          <cell r="C877" t="str">
            <v>BUILDING ROOTS</v>
          </cell>
          <cell r="D877" t="str">
            <v>Labour</v>
          </cell>
        </row>
        <row r="878">
          <cell r="A878" t="str">
            <v>2386084582</v>
          </cell>
          <cell r="B878" t="str">
            <v>Gul Fiaz</v>
          </cell>
          <cell r="C878" t="str">
            <v>SAUDI BAUER</v>
          </cell>
          <cell r="D878" t="str">
            <v>Bg Operator</v>
          </cell>
        </row>
        <row r="879">
          <cell r="A879" t="str">
            <v>2532523988</v>
          </cell>
          <cell r="B879" t="str">
            <v>Gul Mass Khan</v>
          </cell>
          <cell r="C879" t="str">
            <v>SAUDI BAUER</v>
          </cell>
          <cell r="D879" t="str">
            <v>Steel Fixer</v>
          </cell>
        </row>
        <row r="880">
          <cell r="A880" t="str">
            <v>25623640824</v>
          </cell>
          <cell r="B880" t="str">
            <v>Gul Nawar</v>
          </cell>
          <cell r="C880" t="str">
            <v>BUILDING ROOTS</v>
          </cell>
          <cell r="D880" t="str">
            <v>Carpenter</v>
          </cell>
        </row>
        <row r="881">
          <cell r="A881" t="str">
            <v>2631106495</v>
          </cell>
          <cell r="B881" t="str">
            <v>Gul Paraiz Khan</v>
          </cell>
          <cell r="C881" t="str">
            <v>BUILDING ROOTS</v>
          </cell>
          <cell r="D881" t="str">
            <v>Carpenter</v>
          </cell>
        </row>
        <row r="882">
          <cell r="A882" t="str">
            <v>2607664055</v>
          </cell>
          <cell r="B882" t="str">
            <v>Gul Shair</v>
          </cell>
          <cell r="C882" t="str">
            <v>BUILDING ROOTS</v>
          </cell>
          <cell r="D882" t="str">
            <v>Steel Fixer</v>
          </cell>
        </row>
        <row r="883">
          <cell r="A883" t="str">
            <v>2506413869</v>
          </cell>
          <cell r="B883" t="str">
            <v>Gul Sher Khan</v>
          </cell>
          <cell r="C883" t="str">
            <v>ELITE HEART</v>
          </cell>
          <cell r="D883" t="str">
            <v>Carpenter</v>
          </cell>
        </row>
        <row r="884">
          <cell r="A884" t="str">
            <v>2622556682</v>
          </cell>
          <cell r="B884" t="str">
            <v>Gul Syeda Khan</v>
          </cell>
          <cell r="C884" t="str">
            <v>SAUDI BAUER</v>
          </cell>
          <cell r="D884" t="str">
            <v>Helper</v>
          </cell>
        </row>
        <row r="885">
          <cell r="A885" t="str">
            <v>2608903908</v>
          </cell>
          <cell r="B885" t="str">
            <v>Gul Zaman</v>
          </cell>
          <cell r="C885" t="str">
            <v>ELITE HEART</v>
          </cell>
          <cell r="D885" t="str">
            <v>Helper</v>
          </cell>
        </row>
        <row r="886">
          <cell r="A886" t="str">
            <v>2568472845</v>
          </cell>
          <cell r="B886" t="str">
            <v>Gul faraz</v>
          </cell>
          <cell r="C886" t="str">
            <v>BUILDING ROOTS</v>
          </cell>
          <cell r="D886" t="str">
            <v>Carpenter</v>
          </cell>
        </row>
        <row r="887">
          <cell r="A887" t="str">
            <v>2552662658</v>
          </cell>
          <cell r="B887" t="str">
            <v>Gul khan</v>
          </cell>
          <cell r="C887" t="str">
            <v>GLOBAL CASTLE</v>
          </cell>
          <cell r="D887" t="str">
            <v>Carpenter</v>
          </cell>
        </row>
        <row r="888">
          <cell r="A888" t="str">
            <v>2619894161</v>
          </cell>
          <cell r="B888" t="str">
            <v>Gul muhammad</v>
          </cell>
          <cell r="C888" t="str">
            <v>GLOBAL CASTLE</v>
          </cell>
          <cell r="D888" t="str">
            <v>Carpenter</v>
          </cell>
        </row>
        <row r="889">
          <cell r="A889" t="str">
            <v>2631225063</v>
          </cell>
          <cell r="B889" t="str">
            <v>Gul niaz</v>
          </cell>
          <cell r="C889" t="str">
            <v>BUILDING ROOTS</v>
          </cell>
          <cell r="D889" t="str">
            <v>Carpenter</v>
          </cell>
        </row>
        <row r="890">
          <cell r="A890" t="str">
            <v>2556267470</v>
          </cell>
          <cell r="B890" t="str">
            <v>Gulam Uddin</v>
          </cell>
          <cell r="C890" t="str">
            <v>BUILDING ROOTS</v>
          </cell>
          <cell r="D890" t="str">
            <v>Labour</v>
          </cell>
        </row>
        <row r="891">
          <cell r="A891" t="str">
            <v>2573605348</v>
          </cell>
          <cell r="B891" t="str">
            <v>Gulfy Main</v>
          </cell>
          <cell r="C891" t="str">
            <v>BUILDING ROOTS</v>
          </cell>
          <cell r="D891" t="str">
            <v>Steel Fixer</v>
          </cell>
        </row>
        <row r="892">
          <cell r="A892" t="str">
            <v>2512973252</v>
          </cell>
          <cell r="B892" t="str">
            <v>Gull Khan</v>
          </cell>
          <cell r="C892" t="str">
            <v>BUILDING ROOTS</v>
          </cell>
          <cell r="D892" t="str">
            <v>Carpenter</v>
          </cell>
        </row>
        <row r="893">
          <cell r="A893" t="str">
            <v>2127935774</v>
          </cell>
          <cell r="B893" t="str">
            <v>Gulsadim Khan</v>
          </cell>
          <cell r="C893" t="str">
            <v>BUILDING ROOTS</v>
          </cell>
          <cell r="D893" t="str">
            <v>Scaffolder</v>
          </cell>
        </row>
        <row r="894">
          <cell r="A894" t="str">
            <v>2428753848</v>
          </cell>
          <cell r="B894" t="str">
            <v>Gulzar</v>
          </cell>
          <cell r="C894" t="str">
            <v>ALMABANI CONT.</v>
          </cell>
          <cell r="D894" t="str">
            <v>Carpenter</v>
          </cell>
        </row>
        <row r="895">
          <cell r="A895" t="str">
            <v>2594956860</v>
          </cell>
          <cell r="B895" t="str">
            <v>Haad Ahmed</v>
          </cell>
          <cell r="C895" t="str">
            <v>SAUDI BAUER</v>
          </cell>
          <cell r="D895" t="str">
            <v>Helper</v>
          </cell>
        </row>
        <row r="896">
          <cell r="A896" t="str">
            <v>2485646463</v>
          </cell>
          <cell r="B896" t="str">
            <v>Habib</v>
          </cell>
          <cell r="C896" t="str">
            <v>BUILDING ROOTS</v>
          </cell>
          <cell r="D896" t="str">
            <v>Labour</v>
          </cell>
        </row>
        <row r="897">
          <cell r="A897" t="str">
            <v>2495139822</v>
          </cell>
          <cell r="B897" t="str">
            <v>Habib Ali</v>
          </cell>
          <cell r="C897" t="str">
            <v>BUILDING ROOTS</v>
          </cell>
          <cell r="D897" t="str">
            <v>Carpenter</v>
          </cell>
        </row>
        <row r="898">
          <cell r="A898" t="str">
            <v>2630948756</v>
          </cell>
          <cell r="B898" t="str">
            <v>Habib Khan</v>
          </cell>
          <cell r="C898" t="str">
            <v>BUILDING ROOTS</v>
          </cell>
          <cell r="D898" t="str">
            <v>Carpenter</v>
          </cell>
        </row>
        <row r="899">
          <cell r="A899" t="str">
            <v>2556431126</v>
          </cell>
          <cell r="B899" t="str">
            <v>Habib Ullah</v>
          </cell>
          <cell r="C899" t="str">
            <v>BUILDING ROOTS</v>
          </cell>
          <cell r="D899" t="str">
            <v>Flag Man</v>
          </cell>
        </row>
        <row r="900">
          <cell r="A900" t="str">
            <v>2597978234</v>
          </cell>
          <cell r="B900" t="str">
            <v>Habib Ullah</v>
          </cell>
          <cell r="C900" t="str">
            <v>BUILDING ROOTS</v>
          </cell>
          <cell r="D900" t="str">
            <v>Steel Fixer</v>
          </cell>
        </row>
        <row r="901">
          <cell r="A901" t="str">
            <v>2627729045</v>
          </cell>
          <cell r="B901" t="str">
            <v>Habib Ullah Mandal</v>
          </cell>
          <cell r="C901" t="str">
            <v>ELITE HEART</v>
          </cell>
          <cell r="D901" t="str">
            <v>Carpenter</v>
          </cell>
        </row>
        <row r="902">
          <cell r="A902" t="str">
            <v>2487756096</v>
          </cell>
          <cell r="B902" t="str">
            <v>Habib Ur Rehman</v>
          </cell>
          <cell r="C902" t="str">
            <v>BUILDING ROOTS</v>
          </cell>
          <cell r="D902" t="str">
            <v>Carpenter</v>
          </cell>
        </row>
        <row r="903">
          <cell r="A903" t="str">
            <v>2599954092</v>
          </cell>
          <cell r="B903" t="str">
            <v>Habibur Rahman</v>
          </cell>
          <cell r="C903" t="str">
            <v>TAMIMI</v>
          </cell>
          <cell r="D903" t="str">
            <v>Technician</v>
          </cell>
        </row>
        <row r="904">
          <cell r="A904" t="str">
            <v>1138720014</v>
          </cell>
          <cell r="B904" t="str">
            <v>Hadi Alqahtani</v>
          </cell>
          <cell r="C904" t="str">
            <v>AL JOHARAH</v>
          </cell>
          <cell r="D904" t="str">
            <v>Security Officer</v>
          </cell>
        </row>
        <row r="905">
          <cell r="A905" t="str">
            <v>2621205406</v>
          </cell>
          <cell r="B905" t="str">
            <v>Hafeez</v>
          </cell>
          <cell r="C905" t="str">
            <v>BUILDING ROOTS</v>
          </cell>
          <cell r="D905" t="str">
            <v>Surveyor Helper</v>
          </cell>
        </row>
        <row r="906">
          <cell r="A906" t="str">
            <v>2549711634</v>
          </cell>
          <cell r="B906" t="str">
            <v>Hafeez Nazar Ali</v>
          </cell>
          <cell r="C906" t="str">
            <v>BUILDING ROOTS</v>
          </cell>
          <cell r="D906" t="str">
            <v>Labour</v>
          </cell>
        </row>
        <row r="907">
          <cell r="A907" t="str">
            <v>2532128770</v>
          </cell>
          <cell r="B907" t="str">
            <v>Hafiz Arfan</v>
          </cell>
          <cell r="C907" t="str">
            <v>ALMABANI CONT.</v>
          </cell>
          <cell r="D907" t="str">
            <v>Electrician</v>
          </cell>
        </row>
        <row r="908">
          <cell r="A908" t="str">
            <v>4870195338</v>
          </cell>
          <cell r="B908" t="str">
            <v>Hafiz Mahmoud</v>
          </cell>
          <cell r="C908" t="str">
            <v>GULF MARK</v>
          </cell>
          <cell r="D908" t="str">
            <v>Surveyor</v>
          </cell>
        </row>
        <row r="909">
          <cell r="A909" t="str">
            <v>2608026536</v>
          </cell>
          <cell r="B909" t="str">
            <v>Hafiz Muhammad Usman</v>
          </cell>
          <cell r="C909" t="str">
            <v>BUILDING ROOTS</v>
          </cell>
          <cell r="D909" t="str">
            <v>Carpenter</v>
          </cell>
        </row>
        <row r="910">
          <cell r="A910" t="str">
            <v>1092487146</v>
          </cell>
          <cell r="B910" t="str">
            <v>Haidar Bukhamis</v>
          </cell>
          <cell r="C910" t="str">
            <v>BOUYGUES CONST.</v>
          </cell>
          <cell r="D910" t="str">
            <v>Electrical Engineer</v>
          </cell>
        </row>
        <row r="911">
          <cell r="A911" t="str">
            <v>2450806076</v>
          </cell>
          <cell r="B911" t="str">
            <v>Haitham mansour</v>
          </cell>
          <cell r="C911" t="str">
            <v>BUILDING ROOTS</v>
          </cell>
          <cell r="D911" t="str">
            <v>Carpenter</v>
          </cell>
        </row>
        <row r="912">
          <cell r="A912" t="str">
            <v>2526035049</v>
          </cell>
          <cell r="B912" t="str">
            <v>Hakim</v>
          </cell>
          <cell r="C912" t="str">
            <v>TAMIMI</v>
          </cell>
          <cell r="D912" t="str">
            <v>Helper</v>
          </cell>
        </row>
        <row r="913">
          <cell r="A913" t="str">
            <v>2380035150</v>
          </cell>
          <cell r="B913" t="str">
            <v>Hakim Ahmed</v>
          </cell>
          <cell r="C913" t="str">
            <v>BUILDING ROOTS</v>
          </cell>
          <cell r="D913" t="str">
            <v>Carpenter</v>
          </cell>
        </row>
        <row r="914">
          <cell r="A914" t="str">
            <v>2519443036</v>
          </cell>
          <cell r="B914" t="str">
            <v>Hakim Mola</v>
          </cell>
          <cell r="C914" t="str">
            <v>JV (BBI-AGC)</v>
          </cell>
          <cell r="D914" t="str">
            <v>Electrician</v>
          </cell>
        </row>
        <row r="915">
          <cell r="A915" t="str">
            <v>2481321897</v>
          </cell>
          <cell r="B915" t="str">
            <v>Haleem</v>
          </cell>
          <cell r="C915" t="str">
            <v>BUILDING ROOTS</v>
          </cell>
          <cell r="D915" t="str">
            <v>Carpenter</v>
          </cell>
        </row>
        <row r="916">
          <cell r="A916" t="str">
            <v>2612291423</v>
          </cell>
          <cell r="B916" t="str">
            <v>Halim Khan</v>
          </cell>
          <cell r="C916" t="str">
            <v>BUILDING ROOTS</v>
          </cell>
          <cell r="D916" t="str">
            <v>Labour</v>
          </cell>
        </row>
        <row r="917">
          <cell r="A917" t="str">
            <v>2581895030</v>
          </cell>
          <cell r="B917" t="str">
            <v>Hamad Ahmad</v>
          </cell>
          <cell r="C917" t="str">
            <v>ELITE HEART</v>
          </cell>
          <cell r="D917" t="str">
            <v>Rigger Level 3</v>
          </cell>
        </row>
        <row r="918">
          <cell r="A918" t="str">
            <v>2579782950</v>
          </cell>
          <cell r="B918" t="str">
            <v>Hamad khan</v>
          </cell>
          <cell r="C918" t="str">
            <v>BUILDING ROOTS</v>
          </cell>
          <cell r="D918" t="str">
            <v>Steel Fixer</v>
          </cell>
        </row>
        <row r="919">
          <cell r="A919" t="str">
            <v>2590045288</v>
          </cell>
          <cell r="B919" t="str">
            <v>Hamayan Khan</v>
          </cell>
          <cell r="C919" t="str">
            <v>ELITE HEART</v>
          </cell>
          <cell r="D919" t="str">
            <v>Steel Fixer</v>
          </cell>
        </row>
        <row r="920">
          <cell r="A920" t="str">
            <v>2519551457</v>
          </cell>
          <cell r="B920" t="str">
            <v>Hamdi Abdullah</v>
          </cell>
          <cell r="C920" t="str">
            <v>BUILDING ROOTS</v>
          </cell>
          <cell r="D920" t="str">
            <v>Carpenter</v>
          </cell>
        </row>
        <row r="921">
          <cell r="A921" t="str">
            <v>2553110491</v>
          </cell>
          <cell r="B921" t="str">
            <v>Hamed Ali</v>
          </cell>
          <cell r="C921" t="str">
            <v>ELITE HEART</v>
          </cell>
          <cell r="D921" t="str">
            <v>Road Roller Compactor</v>
          </cell>
        </row>
        <row r="922">
          <cell r="A922" t="str">
            <v>2595640836</v>
          </cell>
          <cell r="B922" t="str">
            <v>Hameed Ullah</v>
          </cell>
          <cell r="C922" t="str">
            <v>BUILDING ROOTS</v>
          </cell>
          <cell r="D922" t="str">
            <v>Carpenter</v>
          </cell>
        </row>
        <row r="923">
          <cell r="A923" t="str">
            <v>2547250387</v>
          </cell>
          <cell r="B923" t="str">
            <v>Hamid</v>
          </cell>
          <cell r="C923" t="str">
            <v>BUILDING ROOTS</v>
          </cell>
          <cell r="D923" t="str">
            <v>Carpenter</v>
          </cell>
        </row>
        <row r="924">
          <cell r="A924" t="str">
            <v>2562302311</v>
          </cell>
          <cell r="B924" t="str">
            <v>Hamid Khan</v>
          </cell>
          <cell r="C924" t="str">
            <v>BUILDING ROOTS</v>
          </cell>
          <cell r="D924" t="str">
            <v>Scaffolder</v>
          </cell>
        </row>
        <row r="925">
          <cell r="A925" t="str">
            <v>2535710046</v>
          </cell>
          <cell r="B925" t="str">
            <v>Hamid Raza</v>
          </cell>
          <cell r="C925" t="str">
            <v>UNITED GULF</v>
          </cell>
          <cell r="D925" t="str">
            <v>Welder</v>
          </cell>
        </row>
        <row r="926">
          <cell r="A926" t="str">
            <v>2580233928</v>
          </cell>
          <cell r="B926" t="str">
            <v>Hamid Ullah Khan</v>
          </cell>
          <cell r="C926" t="str">
            <v>ELITE HEART</v>
          </cell>
          <cell r="D926" t="str">
            <v>Labour</v>
          </cell>
        </row>
        <row r="927">
          <cell r="A927" t="str">
            <v>2612399630</v>
          </cell>
          <cell r="B927" t="str">
            <v>Hamim Ahmed</v>
          </cell>
          <cell r="C927" t="str">
            <v>BUILDING ROOTS</v>
          </cell>
          <cell r="D927" t="str">
            <v>Steel Fixer</v>
          </cell>
        </row>
        <row r="928">
          <cell r="A928" t="str">
            <v>2427907411</v>
          </cell>
          <cell r="B928" t="str">
            <v>Hamit Doksoz</v>
          </cell>
          <cell r="C928" t="str">
            <v>ELITE HEART</v>
          </cell>
          <cell r="D928" t="str">
            <v>Supervisor</v>
          </cell>
        </row>
        <row r="929">
          <cell r="A929" t="str">
            <v>2625856733</v>
          </cell>
          <cell r="B929" t="str">
            <v>Hammad</v>
          </cell>
          <cell r="C929" t="str">
            <v>BUILDING ROOTS</v>
          </cell>
          <cell r="D929" t="str">
            <v>Steel Fixer</v>
          </cell>
        </row>
        <row r="930">
          <cell r="A930" t="str">
            <v>2582489817</v>
          </cell>
          <cell r="B930" t="str">
            <v>Hammad</v>
          </cell>
          <cell r="C930" t="str">
            <v>BUILDING ROOTS</v>
          </cell>
          <cell r="D930" t="str">
            <v>Electrician</v>
          </cell>
        </row>
        <row r="931">
          <cell r="A931" t="str">
            <v>2579049004</v>
          </cell>
          <cell r="B931" t="str">
            <v>Hammad Ahmed</v>
          </cell>
          <cell r="C931" t="str">
            <v>BUILDING ROOTS</v>
          </cell>
          <cell r="D931" t="str">
            <v>Scaffolder</v>
          </cell>
        </row>
        <row r="932">
          <cell r="A932" t="str">
            <v>2566117822</v>
          </cell>
          <cell r="B932" t="str">
            <v>Hammad Iftikhar</v>
          </cell>
          <cell r="C932" t="str">
            <v>TAMIMI</v>
          </cell>
          <cell r="D932" t="str">
            <v>Electrician</v>
          </cell>
        </row>
        <row r="933">
          <cell r="A933" t="str">
            <v>2508635477</v>
          </cell>
          <cell r="B933" t="str">
            <v>Hamood</v>
          </cell>
          <cell r="C933" t="str">
            <v>ELITE HEART</v>
          </cell>
          <cell r="D933" t="str">
            <v>Driver</v>
          </cell>
        </row>
        <row r="934">
          <cell r="A934" t="str">
            <v>2463302857</v>
          </cell>
          <cell r="B934" t="str">
            <v>Hamood</v>
          </cell>
          <cell r="C934" t="str">
            <v>ELITE HEART</v>
          </cell>
          <cell r="D934" t="str">
            <v>Operator</v>
          </cell>
        </row>
        <row r="935">
          <cell r="A935" t="str">
            <v>2617501165</v>
          </cell>
          <cell r="B935" t="str">
            <v>Hamza Abdullah</v>
          </cell>
          <cell r="C935" t="str">
            <v>BUILDING ROOTS</v>
          </cell>
          <cell r="D935" t="str">
            <v>Labour</v>
          </cell>
        </row>
        <row r="936">
          <cell r="A936" t="str">
            <v>2532257085</v>
          </cell>
          <cell r="B936" t="str">
            <v>Hamza Ahmed</v>
          </cell>
          <cell r="C936" t="str">
            <v>BUILDING ROOTS</v>
          </cell>
          <cell r="D936" t="str">
            <v>Carpenter</v>
          </cell>
        </row>
        <row r="937">
          <cell r="A937" t="str">
            <v>2543242354</v>
          </cell>
          <cell r="B937" t="str">
            <v>Hamza Imtiaz</v>
          </cell>
          <cell r="C937" t="str">
            <v>TAMIMI</v>
          </cell>
          <cell r="D937" t="str">
            <v>Helper</v>
          </cell>
        </row>
        <row r="938">
          <cell r="A938" t="str">
            <v>2623131394</v>
          </cell>
          <cell r="B938" t="str">
            <v>Hamza Kamran</v>
          </cell>
          <cell r="C938" t="str">
            <v>GLOBAL CASTLES</v>
          </cell>
          <cell r="D938" t="str">
            <v>Rigger 3</v>
          </cell>
        </row>
        <row r="939">
          <cell r="A939" t="str">
            <v>2562844064</v>
          </cell>
          <cell r="B939" t="str">
            <v>Hamza Khan</v>
          </cell>
          <cell r="C939" t="str">
            <v>BUILDING ROOTS</v>
          </cell>
          <cell r="D939" t="str">
            <v>Labour</v>
          </cell>
        </row>
        <row r="940">
          <cell r="A940" t="str">
            <v>2562844644</v>
          </cell>
          <cell r="B940" t="str">
            <v>Hamza Khan</v>
          </cell>
          <cell r="C940" t="str">
            <v>GLOBAL CASTLES</v>
          </cell>
          <cell r="D940" t="str">
            <v>Carpenter</v>
          </cell>
        </row>
        <row r="941">
          <cell r="A941" t="str">
            <v>2613182191</v>
          </cell>
          <cell r="B941" t="str">
            <v>Hamzah</v>
          </cell>
          <cell r="C941" t="str">
            <v>BUILDING ROOTS</v>
          </cell>
          <cell r="D941" t="str">
            <v>Carpenter</v>
          </cell>
        </row>
        <row r="942">
          <cell r="A942" t="str">
            <v>2380753927</v>
          </cell>
          <cell r="B942" t="str">
            <v>Hanafy</v>
          </cell>
          <cell r="C942" t="str">
            <v>BUILDING ROOTS</v>
          </cell>
          <cell r="D942" t="str">
            <v>Engineer</v>
          </cell>
        </row>
        <row r="943">
          <cell r="A943" t="str">
            <v>2547212767</v>
          </cell>
          <cell r="B943" t="str">
            <v>Hanif</v>
          </cell>
          <cell r="C943" t="str">
            <v>BUILDING ROOTS</v>
          </cell>
          <cell r="D943" t="str">
            <v>Carpenter</v>
          </cell>
        </row>
        <row r="944">
          <cell r="A944" t="str">
            <v>2116017944</v>
          </cell>
          <cell r="B944" t="str">
            <v>Hanif Khan</v>
          </cell>
          <cell r="C944" t="str">
            <v>BUILDING ROOTS</v>
          </cell>
          <cell r="D944" t="str">
            <v>-</v>
          </cell>
        </row>
        <row r="945">
          <cell r="A945" t="str">
            <v>2559518564</v>
          </cell>
          <cell r="B945" t="str">
            <v>Hanif Sharif</v>
          </cell>
          <cell r="C945" t="str">
            <v>GLOBAL CASTLES</v>
          </cell>
          <cell r="D945" t="str">
            <v>Labour</v>
          </cell>
        </row>
        <row r="946">
          <cell r="A946" t="str">
            <v>2532574291</v>
          </cell>
          <cell r="B946" t="str">
            <v>Hanif Ullah</v>
          </cell>
          <cell r="C946" t="str">
            <v>BUILDING ROOTS</v>
          </cell>
          <cell r="D946" t="str">
            <v>Labour</v>
          </cell>
        </row>
        <row r="947">
          <cell r="A947" t="str">
            <v>2511399061</v>
          </cell>
          <cell r="B947" t="str">
            <v>Hanif Ullah</v>
          </cell>
          <cell r="C947" t="str">
            <v>AL FAL HOUSE</v>
          </cell>
          <cell r="D947" t="str">
            <v>Labour</v>
          </cell>
        </row>
        <row r="948">
          <cell r="A948" t="str">
            <v>2568496018</v>
          </cell>
          <cell r="B948" t="str">
            <v>Hanif ullah</v>
          </cell>
          <cell r="C948" t="str">
            <v>GLOBAL CASTLE</v>
          </cell>
          <cell r="D948" t="str">
            <v>Carpenter</v>
          </cell>
        </row>
        <row r="949">
          <cell r="A949" t="str">
            <v>2403868165</v>
          </cell>
          <cell r="B949" t="str">
            <v>Hanmid</v>
          </cell>
          <cell r="C949" t="str">
            <v>UNITED GULF</v>
          </cell>
          <cell r="D949" t="str">
            <v>Foreman</v>
          </cell>
        </row>
        <row r="950">
          <cell r="A950" t="str">
            <v>245835510</v>
          </cell>
          <cell r="B950" t="str">
            <v>Hany Mutawea</v>
          </cell>
          <cell r="C950" t="str">
            <v>QIDDIYA</v>
          </cell>
          <cell r="D950" t="str">
            <v>Landscape Architect</v>
          </cell>
        </row>
        <row r="951">
          <cell r="A951" t="str">
            <v>2625906637</v>
          </cell>
          <cell r="B951" t="str">
            <v>Haq nawaz</v>
          </cell>
          <cell r="C951" t="str">
            <v>ALMABANI CONT.</v>
          </cell>
          <cell r="D951" t="str">
            <v>Carpenter</v>
          </cell>
        </row>
        <row r="952">
          <cell r="A952" t="str">
            <v>2618686394</v>
          </cell>
          <cell r="B952" t="str">
            <v>Haris khan</v>
          </cell>
          <cell r="C952" t="str">
            <v>BUILDING ROOTS</v>
          </cell>
          <cell r="D952" t="str">
            <v>QC civil engineer</v>
          </cell>
        </row>
        <row r="953">
          <cell r="A953" t="str">
            <v>2616583460</v>
          </cell>
          <cell r="B953" t="str">
            <v>Haris khan</v>
          </cell>
          <cell r="C953" t="str">
            <v>BUILDING ROOTS</v>
          </cell>
          <cell r="D953" t="str">
            <v>labor</v>
          </cell>
        </row>
        <row r="954">
          <cell r="A954" t="str">
            <v>2121346155</v>
          </cell>
          <cell r="B954" t="str">
            <v>Haris uddin</v>
          </cell>
          <cell r="C954" t="str">
            <v>BUILDING ROOTS</v>
          </cell>
          <cell r="D954" t="str">
            <v>mason</v>
          </cell>
        </row>
        <row r="955">
          <cell r="A955" t="str">
            <v>2521371522</v>
          </cell>
          <cell r="B955" t="str">
            <v>Harish Lal</v>
          </cell>
          <cell r="C955" t="str">
            <v>GULF MARK</v>
          </cell>
          <cell r="D955" t="str">
            <v>Jcb Driver</v>
          </cell>
        </row>
        <row r="956">
          <cell r="A956" t="str">
            <v>2590014227</v>
          </cell>
          <cell r="B956" t="str">
            <v>Harun Akyoz</v>
          </cell>
          <cell r="C956" t="str">
            <v>ELITE HEART</v>
          </cell>
          <cell r="D956" t="str">
            <v>Surveyor Engineer</v>
          </cell>
        </row>
        <row r="957">
          <cell r="A957" t="str">
            <v>2259767818</v>
          </cell>
          <cell r="B957" t="str">
            <v>Harwan Kali</v>
          </cell>
          <cell r="C957" t="str">
            <v>GULF MARK</v>
          </cell>
          <cell r="D957" t="str">
            <v>Jcb Driver</v>
          </cell>
        </row>
        <row r="958">
          <cell r="A958" t="str">
            <v>2543687525</v>
          </cell>
          <cell r="B958" t="str">
            <v>Hasan Ahmed</v>
          </cell>
          <cell r="C958" t="str">
            <v>BUILDING ROOTS</v>
          </cell>
          <cell r="D958" t="str">
            <v>Carpenter</v>
          </cell>
        </row>
        <row r="959">
          <cell r="A959" t="str">
            <v>2561475621</v>
          </cell>
          <cell r="B959" t="str">
            <v>Hasan Ali</v>
          </cell>
          <cell r="C959" t="str">
            <v>ELITE HEART</v>
          </cell>
          <cell r="D959" t="str">
            <v>Stf</v>
          </cell>
        </row>
        <row r="960">
          <cell r="A960" t="str">
            <v>2391249584</v>
          </cell>
          <cell r="B960" t="str">
            <v>Hasan Ali Shah</v>
          </cell>
          <cell r="C960" t="str">
            <v>ULMA</v>
          </cell>
          <cell r="D960" t="str">
            <v>Formwork Inspector</v>
          </cell>
        </row>
        <row r="961">
          <cell r="A961" t="str">
            <v>2599783905</v>
          </cell>
          <cell r="B961" t="str">
            <v>Hasan Ujjaman</v>
          </cell>
          <cell r="C961" t="str">
            <v>BUILDING ROOTS</v>
          </cell>
          <cell r="D961" t="str">
            <v>Steel Fixer</v>
          </cell>
        </row>
        <row r="962">
          <cell r="A962" t="str">
            <v>2522919568</v>
          </cell>
          <cell r="B962" t="str">
            <v>Hasandeen</v>
          </cell>
          <cell r="C962" t="str">
            <v>Cretec</v>
          </cell>
          <cell r="D962" t="str">
            <v>labor</v>
          </cell>
        </row>
        <row r="963">
          <cell r="A963" t="str">
            <v>2535801027</v>
          </cell>
          <cell r="B963" t="str">
            <v>Haseeb Ullah</v>
          </cell>
          <cell r="C963" t="str">
            <v>SAUDI BAUER</v>
          </cell>
          <cell r="D963" t="str">
            <v>Steel Fixer</v>
          </cell>
        </row>
        <row r="964">
          <cell r="A964" t="str">
            <v>2479684330</v>
          </cell>
          <cell r="B964" t="str">
            <v>Hashed Abdo Asim</v>
          </cell>
          <cell r="C964" t="str">
            <v>NFT</v>
          </cell>
          <cell r="D964" t="str">
            <v>Erector</v>
          </cell>
        </row>
        <row r="965">
          <cell r="A965" t="str">
            <v>2508541238</v>
          </cell>
          <cell r="B965" t="str">
            <v>Hashem Abdullah</v>
          </cell>
          <cell r="C965" t="str">
            <v>BUILDING ROOTS</v>
          </cell>
          <cell r="D965" t="str">
            <v>Carpenter</v>
          </cell>
        </row>
        <row r="966">
          <cell r="A966" t="str">
            <v>2372740221</v>
          </cell>
          <cell r="B966" t="str">
            <v>Hashim Khan</v>
          </cell>
          <cell r="C966" t="str">
            <v>ALMABANI CONT.</v>
          </cell>
          <cell r="D966" t="str">
            <v>Electrician</v>
          </cell>
        </row>
        <row r="967">
          <cell r="A967" t="str">
            <v>2407691480</v>
          </cell>
          <cell r="B967" t="str">
            <v>Hashmat khan</v>
          </cell>
          <cell r="C967" t="str">
            <v>ELITE HEART</v>
          </cell>
          <cell r="D967" t="str">
            <v>Carpenter</v>
          </cell>
        </row>
        <row r="968">
          <cell r="A968" t="str">
            <v>2588514477</v>
          </cell>
          <cell r="B968" t="str">
            <v>Hassan</v>
          </cell>
          <cell r="C968" t="str">
            <v>SAUDI BAUER</v>
          </cell>
          <cell r="D968" t="str">
            <v>Helper</v>
          </cell>
        </row>
        <row r="969">
          <cell r="A969" t="str">
            <v>2590901860</v>
          </cell>
          <cell r="B969" t="str">
            <v>Hassan Ahmed</v>
          </cell>
          <cell r="C969" t="str">
            <v>ELITE HEART</v>
          </cell>
          <cell r="D969" t="str">
            <v>Steel Fixer</v>
          </cell>
        </row>
        <row r="970">
          <cell r="A970" t="str">
            <v>2212852798</v>
          </cell>
          <cell r="B970" t="str">
            <v>Hassan Al Moatseeri</v>
          </cell>
          <cell r="C970" t="str">
            <v>BOUYGUES CONST.</v>
          </cell>
          <cell r="D970" t="str">
            <v>Supervisor</v>
          </cell>
        </row>
        <row r="971">
          <cell r="A971" t="str">
            <v>1051236048</v>
          </cell>
          <cell r="B971" t="str">
            <v>Hassan Habib</v>
          </cell>
          <cell r="C971" t="str">
            <v>PRAINSA</v>
          </cell>
          <cell r="D971" t="str">
            <v>Engineer</v>
          </cell>
        </row>
        <row r="972">
          <cell r="A972" t="str">
            <v>2628327120</v>
          </cell>
          <cell r="B972" t="str">
            <v>Hassan Nawaz</v>
          </cell>
          <cell r="C972" t="str">
            <v>BUILDING ROOTS</v>
          </cell>
          <cell r="D972" t="str">
            <v>Carpenter</v>
          </cell>
        </row>
        <row r="973">
          <cell r="A973" t="str">
            <v>26119693886</v>
          </cell>
          <cell r="B973" t="str">
            <v>Hassan Nawaz</v>
          </cell>
          <cell r="C973" t="str">
            <v>BUILDING ROOTS</v>
          </cell>
          <cell r="D973" t="str">
            <v>Carpenter</v>
          </cell>
        </row>
        <row r="974">
          <cell r="A974" t="str">
            <v>2586694735</v>
          </cell>
          <cell r="B974" t="str">
            <v>Hassan shah</v>
          </cell>
          <cell r="C974" t="str">
            <v>BUILDING ROOTS</v>
          </cell>
          <cell r="D974" t="str">
            <v>HSE Officer</v>
          </cell>
        </row>
        <row r="975">
          <cell r="A975" t="str">
            <v>2575940803</v>
          </cell>
          <cell r="B975" t="str">
            <v>Haya Jan</v>
          </cell>
          <cell r="C975" t="str">
            <v>ARABIAN TOWER</v>
          </cell>
          <cell r="D975" t="str">
            <v>Work At Height &amp; Rescue</v>
          </cell>
        </row>
        <row r="976">
          <cell r="A976" t="str">
            <v>2628227650</v>
          </cell>
          <cell r="B976" t="str">
            <v>Hayat</v>
          </cell>
          <cell r="C976" t="str">
            <v>ELITE HEART</v>
          </cell>
          <cell r="D976" t="str">
            <v>Scaffolder</v>
          </cell>
        </row>
        <row r="977">
          <cell r="A977" t="str">
            <v>2578166056</v>
          </cell>
          <cell r="B977" t="str">
            <v>Hayat Ullah</v>
          </cell>
          <cell r="C977" t="str">
            <v>BUILDING ROOTS</v>
          </cell>
          <cell r="D977" t="str">
            <v>Helper</v>
          </cell>
        </row>
        <row r="978">
          <cell r="A978" t="str">
            <v>2629065083</v>
          </cell>
          <cell r="B978" t="str">
            <v>Hayat Ullah</v>
          </cell>
          <cell r="C978" t="str">
            <v>BUILDING ROOTS</v>
          </cell>
          <cell r="D978" t="str">
            <v>Carpenter</v>
          </cell>
        </row>
        <row r="979">
          <cell r="A979" t="str">
            <v>2604939757</v>
          </cell>
          <cell r="B979" t="str">
            <v>Hayat Ullah</v>
          </cell>
          <cell r="C979" t="str">
            <v>ELITE HEART</v>
          </cell>
          <cell r="D979" t="str">
            <v>Labour</v>
          </cell>
        </row>
        <row r="980">
          <cell r="A980" t="str">
            <v>2593241249</v>
          </cell>
          <cell r="B980" t="str">
            <v>Hayat Ullah</v>
          </cell>
          <cell r="C980" t="str">
            <v>ELITE HEART</v>
          </cell>
          <cell r="D980" t="str">
            <v>Labour</v>
          </cell>
        </row>
        <row r="981">
          <cell r="A981" t="str">
            <v>2586100162</v>
          </cell>
          <cell r="B981" t="str">
            <v>Hayat ali</v>
          </cell>
          <cell r="C981" t="str">
            <v>NFT</v>
          </cell>
          <cell r="D981" t="str">
            <v>Crane Operator</v>
          </cell>
        </row>
        <row r="982">
          <cell r="A982" t="str">
            <v>2602858975</v>
          </cell>
          <cell r="B982" t="str">
            <v>Hayat khan</v>
          </cell>
          <cell r="C982" t="str">
            <v>BUILDING ROOTS</v>
          </cell>
          <cell r="D982" t="str">
            <v>labor</v>
          </cell>
        </row>
        <row r="983">
          <cell r="A983" t="str">
            <v>2630361109</v>
          </cell>
          <cell r="B983" t="str">
            <v>Hayat ullah</v>
          </cell>
          <cell r="C983" t="str">
            <v>GLOBAL CASTLE</v>
          </cell>
          <cell r="D983" t="str">
            <v>Steel Fixer</v>
          </cell>
        </row>
        <row r="984">
          <cell r="A984" t="str">
            <v>2604934757</v>
          </cell>
          <cell r="B984" t="str">
            <v>Hayet Ullah</v>
          </cell>
          <cell r="C984" t="str">
            <v>AALICO</v>
          </cell>
          <cell r="D984" t="str">
            <v>Labour</v>
          </cell>
        </row>
        <row r="985">
          <cell r="A985" t="str">
            <v>2525727216</v>
          </cell>
          <cell r="B985" t="str">
            <v>Hayssam Abdul</v>
          </cell>
          <cell r="C985" t="str">
            <v>GULF MARK</v>
          </cell>
          <cell r="D985" t="str">
            <v>Super Fazar</v>
          </cell>
        </row>
        <row r="986">
          <cell r="A986" t="str">
            <v>2581721046</v>
          </cell>
          <cell r="B986" t="str">
            <v>Haza abdul aziz</v>
          </cell>
          <cell r="C986" t="str">
            <v>AALICO</v>
          </cell>
          <cell r="D986" t="str">
            <v>Operator</v>
          </cell>
        </row>
        <row r="987">
          <cell r="A987" t="str">
            <v>1089275171</v>
          </cell>
          <cell r="B987" t="str">
            <v>Hazem Almazini</v>
          </cell>
          <cell r="C987" t="str">
            <v>BOUYGUES CONST.</v>
          </cell>
          <cell r="D987" t="str">
            <v>QA / QC Engineer</v>
          </cell>
        </row>
        <row r="988">
          <cell r="A988" t="str">
            <v>2610813558</v>
          </cell>
          <cell r="B988" t="str">
            <v>Hazmat Wali</v>
          </cell>
          <cell r="C988" t="str">
            <v>BUILDING ROOTS</v>
          </cell>
          <cell r="D988" t="str">
            <v>Carpenter</v>
          </cell>
        </row>
        <row r="989">
          <cell r="A989" t="str">
            <v>2200052914</v>
          </cell>
          <cell r="B989" t="str">
            <v>Hazrat Ali</v>
          </cell>
          <cell r="C989" t="str">
            <v>JV (BBI-AGC)</v>
          </cell>
          <cell r="D989" t="str">
            <v>Labour</v>
          </cell>
        </row>
        <row r="990">
          <cell r="A990" t="str">
            <v>2474407976</v>
          </cell>
          <cell r="B990" t="str">
            <v>Hazrat Ali</v>
          </cell>
          <cell r="C990" t="str">
            <v>ELITE HEART</v>
          </cell>
          <cell r="D990" t="str">
            <v>Steel Fixer</v>
          </cell>
        </row>
        <row r="991">
          <cell r="A991" t="str">
            <v>2626760926</v>
          </cell>
          <cell r="B991" t="str">
            <v>Hazrat Bilal</v>
          </cell>
          <cell r="C991" t="str">
            <v>BUILDING ROOTS</v>
          </cell>
          <cell r="D991" t="str">
            <v>Foreman</v>
          </cell>
        </row>
        <row r="992">
          <cell r="A992" t="str">
            <v>2619474840</v>
          </cell>
          <cell r="B992" t="str">
            <v>Hazrat Khan</v>
          </cell>
          <cell r="C992" t="str">
            <v>BUILDING ROOTS</v>
          </cell>
          <cell r="D992" t="str">
            <v>Labour</v>
          </cell>
        </row>
        <row r="993">
          <cell r="A993" t="str">
            <v>2582636813</v>
          </cell>
          <cell r="B993" t="str">
            <v>Hazrat Rehman</v>
          </cell>
          <cell r="C993" t="str">
            <v>ELITE HEART</v>
          </cell>
          <cell r="D993" t="str">
            <v>Labour</v>
          </cell>
        </row>
        <row r="994">
          <cell r="A994" t="str">
            <v>2531933964</v>
          </cell>
          <cell r="B994" t="str">
            <v>Hazrat Ullah</v>
          </cell>
          <cell r="C994" t="str">
            <v>ELITE HEART</v>
          </cell>
          <cell r="D994" t="str">
            <v>Foreman</v>
          </cell>
        </row>
        <row r="995">
          <cell r="A995" t="str">
            <v>2552042778</v>
          </cell>
          <cell r="B995" t="str">
            <v>Hazrat Ullah</v>
          </cell>
          <cell r="C995" t="str">
            <v>ELITE HEART</v>
          </cell>
          <cell r="D995" t="str">
            <v>Carpenter</v>
          </cell>
        </row>
        <row r="996">
          <cell r="A996" t="str">
            <v>2590880155</v>
          </cell>
          <cell r="B996" t="str">
            <v>Hazrat Wadan</v>
          </cell>
          <cell r="C996" t="str">
            <v>BUILDING ROOTS</v>
          </cell>
          <cell r="D996" t="str">
            <v>Labour</v>
          </cell>
        </row>
        <row r="997">
          <cell r="A997" t="str">
            <v>2571686522</v>
          </cell>
          <cell r="B997" t="str">
            <v>Hazrat Wali</v>
          </cell>
          <cell r="C997" t="str">
            <v>BUILDING ROOTS</v>
          </cell>
          <cell r="D997" t="str">
            <v>Labour</v>
          </cell>
        </row>
        <row r="998">
          <cell r="A998" t="str">
            <v>2534201088</v>
          </cell>
          <cell r="B998" t="str">
            <v>Hazrat Zubair</v>
          </cell>
          <cell r="C998" t="str">
            <v>GLOBAL CASTLES</v>
          </cell>
          <cell r="D998" t="str">
            <v>Rigger</v>
          </cell>
        </row>
        <row r="999">
          <cell r="A999" t="str">
            <v>2624206542</v>
          </cell>
          <cell r="B999" t="str">
            <v>Hazrat wahab</v>
          </cell>
          <cell r="C999" t="str">
            <v>BUILDING ROOTS</v>
          </cell>
          <cell r="D999" t="str">
            <v>Carpenter</v>
          </cell>
        </row>
        <row r="1000">
          <cell r="A1000" t="str">
            <v>2549715590</v>
          </cell>
          <cell r="B1000" t="str">
            <v>Hazruddin Alam</v>
          </cell>
          <cell r="C1000" t="str">
            <v>EURO TENT</v>
          </cell>
          <cell r="D1000" t="str">
            <v>Labour</v>
          </cell>
        </row>
        <row r="1001">
          <cell r="A1001" t="str">
            <v>2613834973</v>
          </cell>
          <cell r="B1001" t="str">
            <v>Hedayat Ullah</v>
          </cell>
          <cell r="C1001" t="str">
            <v>BUILDING ROOTS</v>
          </cell>
          <cell r="D1001" t="str">
            <v>Helper</v>
          </cell>
        </row>
        <row r="1002">
          <cell r="A1002" t="str">
            <v>2515667989</v>
          </cell>
          <cell r="B1002" t="str">
            <v>Helal Mobarek</v>
          </cell>
          <cell r="C1002" t="str">
            <v>GLOBAL CASTLES</v>
          </cell>
          <cell r="D1002" t="str">
            <v>Carpenter</v>
          </cell>
        </row>
        <row r="1003">
          <cell r="A1003" t="str">
            <v>2607608870</v>
          </cell>
          <cell r="B1003" t="str">
            <v>Helal mia</v>
          </cell>
          <cell r="C1003" t="str">
            <v>GLOBAL CASTLE</v>
          </cell>
          <cell r="D1003" t="str">
            <v>Steel Fixer</v>
          </cell>
        </row>
        <row r="1004">
          <cell r="A1004" t="str">
            <v>2628051829</v>
          </cell>
          <cell r="B1004" t="str">
            <v>Hemdan</v>
          </cell>
          <cell r="C1004" t="str">
            <v>BUILDING ROOTS</v>
          </cell>
          <cell r="D1004" t="str">
            <v>Foreman</v>
          </cell>
        </row>
        <row r="1005">
          <cell r="A1005" t="str">
            <v>2616398823</v>
          </cell>
          <cell r="B1005" t="str">
            <v>Henon Miah</v>
          </cell>
          <cell r="C1005" t="str">
            <v>ELITE HEART</v>
          </cell>
          <cell r="D1005" t="str">
            <v>Mason</v>
          </cell>
        </row>
        <row r="1006">
          <cell r="A1006" t="str">
            <v>2629337672</v>
          </cell>
          <cell r="B1006" t="str">
            <v>Hesham Ali</v>
          </cell>
          <cell r="C1006" t="str">
            <v>BUILDING ROOTS</v>
          </cell>
          <cell r="D1006" t="str">
            <v>Foreman</v>
          </cell>
        </row>
        <row r="1007">
          <cell r="A1007" t="str">
            <v>2597088349</v>
          </cell>
          <cell r="B1007" t="str">
            <v>Hidayat Shah</v>
          </cell>
          <cell r="C1007" t="str">
            <v>BUILDING ROOTS</v>
          </cell>
          <cell r="D1007" t="str">
            <v>Labour</v>
          </cell>
        </row>
        <row r="1008">
          <cell r="A1008" t="str">
            <v>2532225295</v>
          </cell>
          <cell r="B1008" t="str">
            <v>Hidayat Ul Haq</v>
          </cell>
          <cell r="C1008" t="str">
            <v>BUILDING ROOTS</v>
          </cell>
          <cell r="D1008" t="str">
            <v>Carpenter</v>
          </cell>
        </row>
        <row r="1009">
          <cell r="A1009" t="str">
            <v>2335573529</v>
          </cell>
          <cell r="B1009" t="str">
            <v>Hidayat Ullah</v>
          </cell>
          <cell r="C1009" t="str">
            <v>ELITE HEART</v>
          </cell>
          <cell r="D1009" t="str">
            <v>Carpenter</v>
          </cell>
        </row>
        <row r="1010">
          <cell r="A1010" t="str">
            <v>2577812411</v>
          </cell>
          <cell r="B1010" t="str">
            <v>Hikmat Shah</v>
          </cell>
          <cell r="C1010" t="str">
            <v>BUILDING ROOTS</v>
          </cell>
          <cell r="D1010" t="str">
            <v>Steel Fixer</v>
          </cell>
        </row>
        <row r="1011">
          <cell r="A1011" t="str">
            <v>2592095595</v>
          </cell>
          <cell r="B1011" t="str">
            <v>Hisham</v>
          </cell>
          <cell r="C1011" t="str">
            <v>ULMA - SMC</v>
          </cell>
          <cell r="D1011" t="str">
            <v>Supervisor</v>
          </cell>
        </row>
        <row r="1012">
          <cell r="A1012" t="str">
            <v>2611589462</v>
          </cell>
          <cell r="B1012" t="str">
            <v>Hizab Ullah</v>
          </cell>
          <cell r="C1012" t="str">
            <v>JV (BBI-AGC)</v>
          </cell>
          <cell r="D1012" t="str">
            <v>Tower Crane Operator</v>
          </cell>
        </row>
        <row r="1013">
          <cell r="A1013" t="str">
            <v>2623695828</v>
          </cell>
          <cell r="B1013" t="str">
            <v>Hizab Ur Rehman</v>
          </cell>
          <cell r="C1013" t="str">
            <v>SAUDI BAUER</v>
          </cell>
          <cell r="D1013" t="str">
            <v>Helper</v>
          </cell>
        </row>
        <row r="1014">
          <cell r="A1014" t="str">
            <v>2523248157</v>
          </cell>
          <cell r="B1014" t="str">
            <v>Hobibul</v>
          </cell>
          <cell r="C1014" t="str">
            <v>ELITE HEART</v>
          </cell>
          <cell r="D1014" t="str">
            <v>Labour</v>
          </cell>
        </row>
        <row r="1015">
          <cell r="A1015" t="str">
            <v>2533105744</v>
          </cell>
          <cell r="B1015" t="str">
            <v>Hojamammet Haydarov</v>
          </cell>
          <cell r="C1015" t="str">
            <v>BOUYGUES CONST.</v>
          </cell>
          <cell r="D1015" t="str">
            <v>QA / QC Engineer</v>
          </cell>
        </row>
        <row r="1016">
          <cell r="A1016" t="str">
            <v>294749638</v>
          </cell>
          <cell r="B1016" t="str">
            <v>Hosain Abdul Razak</v>
          </cell>
          <cell r="C1016" t="str">
            <v>BUILDING ROOTS</v>
          </cell>
          <cell r="D1016" t="str">
            <v>Scaffolder</v>
          </cell>
        </row>
        <row r="1017">
          <cell r="A1017" t="str">
            <v>2530666722</v>
          </cell>
          <cell r="B1017" t="str">
            <v>Hosam Faisal</v>
          </cell>
          <cell r="C1017" t="str">
            <v>BUILDING ROOTS</v>
          </cell>
          <cell r="D1017" t="str">
            <v>Carpenter</v>
          </cell>
        </row>
        <row r="1018">
          <cell r="A1018" t="str">
            <v>2522368796</v>
          </cell>
          <cell r="B1018" t="str">
            <v>Hoshaim Abdo</v>
          </cell>
          <cell r="C1018" t="str">
            <v>BUILDING ROOTS</v>
          </cell>
          <cell r="D1018" t="str">
            <v>Carpenter</v>
          </cell>
        </row>
        <row r="1019">
          <cell r="A1019" t="str">
            <v>2577665298</v>
          </cell>
          <cell r="B1019" t="str">
            <v>Hossain</v>
          </cell>
          <cell r="C1019" t="str">
            <v>ANNAQ</v>
          </cell>
          <cell r="D1019" t="str">
            <v>Labor</v>
          </cell>
        </row>
        <row r="1020">
          <cell r="A1020" t="str">
            <v>2355059177</v>
          </cell>
          <cell r="B1020" t="str">
            <v>Hossam Hassan</v>
          </cell>
          <cell r="C1020" t="str">
            <v>BUILDING ROOTS</v>
          </cell>
          <cell r="D1020" t="str">
            <v>Supervisor</v>
          </cell>
        </row>
        <row r="1021">
          <cell r="A1021" t="str">
            <v>2516515109</v>
          </cell>
          <cell r="B1021" t="str">
            <v>Hossen Sohag</v>
          </cell>
          <cell r="C1021" t="str">
            <v>GLOBAL CASTLES</v>
          </cell>
          <cell r="D1021" t="str">
            <v>Electrician</v>
          </cell>
        </row>
        <row r="1022">
          <cell r="A1022" t="str">
            <v>2624292484</v>
          </cell>
          <cell r="B1022" t="str">
            <v>Hridoy hussen</v>
          </cell>
          <cell r="C1022" t="str">
            <v>GLOBAL CASTLE</v>
          </cell>
          <cell r="D1022" t="str">
            <v>Steel Fixer</v>
          </cell>
        </row>
        <row r="1023">
          <cell r="A1023" t="str">
            <v>2590453813</v>
          </cell>
          <cell r="B1023" t="str">
            <v>Hu Ming</v>
          </cell>
          <cell r="C1023" t="str">
            <v>JV (BBI-AGC)</v>
          </cell>
          <cell r="D1023" t="str">
            <v>Supervisor</v>
          </cell>
        </row>
        <row r="1024">
          <cell r="A1024" t="str">
            <v>2519073395</v>
          </cell>
          <cell r="B1024" t="str">
            <v>Humayun</v>
          </cell>
          <cell r="C1024" t="str">
            <v>GLOBAL CASTLES</v>
          </cell>
          <cell r="D1024" t="str">
            <v>Supervisor</v>
          </cell>
        </row>
        <row r="1025">
          <cell r="A1025" t="str">
            <v>2590124935</v>
          </cell>
          <cell r="B1025" t="str">
            <v>Humayun badshah</v>
          </cell>
          <cell r="C1025" t="str">
            <v>BUILDING ROOTS</v>
          </cell>
          <cell r="D1025" t="str">
            <v>Foreman</v>
          </cell>
        </row>
        <row r="1026">
          <cell r="A1026" t="str">
            <v>2630915342</v>
          </cell>
          <cell r="B1026" t="str">
            <v>Hunain Khan</v>
          </cell>
          <cell r="C1026" t="str">
            <v>BUILDING ROOTS</v>
          </cell>
          <cell r="D1026" t="str">
            <v>Labour</v>
          </cell>
        </row>
        <row r="1027">
          <cell r="A1027" t="str">
            <v>2621900386</v>
          </cell>
          <cell r="B1027" t="str">
            <v>Husain</v>
          </cell>
          <cell r="C1027" t="str">
            <v>BUILDING ROOTS</v>
          </cell>
          <cell r="D1027" t="str">
            <v>Carpenter</v>
          </cell>
        </row>
        <row r="1028">
          <cell r="A1028" t="str">
            <v>2623427608</v>
          </cell>
          <cell r="B1028" t="str">
            <v>Husam Abdul Rahman</v>
          </cell>
          <cell r="C1028" t="str">
            <v>BUILDING ROOTS</v>
          </cell>
          <cell r="D1028" t="str">
            <v>Carpenter</v>
          </cell>
        </row>
        <row r="1029">
          <cell r="A1029" t="str">
            <v>2265939542</v>
          </cell>
          <cell r="B1029" t="str">
            <v>Husam Haj</v>
          </cell>
          <cell r="C1029" t="str">
            <v>AALICO</v>
          </cell>
          <cell r="D1029" t="str">
            <v>Site Engineer</v>
          </cell>
        </row>
        <row r="1030">
          <cell r="A1030" t="str">
            <v>2542605239</v>
          </cell>
          <cell r="B1030" t="str">
            <v>Husan Zeb</v>
          </cell>
          <cell r="C1030" t="str">
            <v>TAMIMI</v>
          </cell>
          <cell r="D1030" t="str">
            <v>It Technician</v>
          </cell>
        </row>
        <row r="1031">
          <cell r="A1031" t="str">
            <v>2474028806</v>
          </cell>
          <cell r="B1031" t="str">
            <v>Husnain Asghar</v>
          </cell>
          <cell r="C1031" t="str">
            <v>BUILDING ROOTS</v>
          </cell>
          <cell r="D1031" t="str">
            <v>Manlift Operator</v>
          </cell>
        </row>
        <row r="1032">
          <cell r="A1032" t="str">
            <v>2564436489</v>
          </cell>
          <cell r="B1032" t="str">
            <v>Husnain Haider</v>
          </cell>
          <cell r="C1032" t="str">
            <v>BUILDING ROOTS</v>
          </cell>
          <cell r="D1032" t="str">
            <v>Steel Fixer</v>
          </cell>
        </row>
        <row r="1033">
          <cell r="A1033" t="str">
            <v>2508705759</v>
          </cell>
          <cell r="B1033" t="str">
            <v>Hussain</v>
          </cell>
          <cell r="C1033" t="str">
            <v>GLOBAL CASTLES</v>
          </cell>
          <cell r="D1033" t="str">
            <v>Carpenter</v>
          </cell>
        </row>
        <row r="1034">
          <cell r="A1034" t="str">
            <v>2544011592</v>
          </cell>
          <cell r="B1034" t="str">
            <v>Hussain</v>
          </cell>
          <cell r="C1034" t="str">
            <v>SAUDI BAUER</v>
          </cell>
          <cell r="D1034" t="str">
            <v>Rigger</v>
          </cell>
        </row>
        <row r="1035">
          <cell r="A1035" t="str">
            <v>2610727998</v>
          </cell>
          <cell r="B1035" t="str">
            <v>Hussain Ahmed</v>
          </cell>
          <cell r="C1035" t="str">
            <v>BUILDING ROOTS</v>
          </cell>
          <cell r="D1035" t="str">
            <v>Steel Fixer</v>
          </cell>
        </row>
        <row r="1036">
          <cell r="A1036" t="str">
            <v>2532196926</v>
          </cell>
          <cell r="B1036" t="str">
            <v>Hussain Ali</v>
          </cell>
          <cell r="C1036" t="str">
            <v>BUILDING ROOTS</v>
          </cell>
          <cell r="D1036" t="str">
            <v>Carpenter</v>
          </cell>
        </row>
        <row r="1037">
          <cell r="A1037" t="str">
            <v>2293561672</v>
          </cell>
          <cell r="B1037" t="str">
            <v>Hussain Ali</v>
          </cell>
          <cell r="C1037" t="str">
            <v>BUILDING ROOTS</v>
          </cell>
          <cell r="D1037" t="str">
            <v>Foreman</v>
          </cell>
        </row>
        <row r="1038">
          <cell r="A1038" t="str">
            <v>1074512722</v>
          </cell>
          <cell r="B1038" t="str">
            <v>Hussain Ali Albasri</v>
          </cell>
          <cell r="C1038" t="str">
            <v>JV (BBI-AGC)</v>
          </cell>
          <cell r="D1038" t="str">
            <v>Hse</v>
          </cell>
        </row>
        <row r="1039">
          <cell r="A1039" t="str">
            <v>2594440345</v>
          </cell>
          <cell r="B1039" t="str">
            <v>Hussain Khan</v>
          </cell>
          <cell r="C1039" t="str">
            <v>BUILDING ROOTS</v>
          </cell>
          <cell r="D1039" t="str">
            <v>Labour</v>
          </cell>
        </row>
        <row r="1040">
          <cell r="A1040" t="str">
            <v>2570071445</v>
          </cell>
          <cell r="B1040" t="str">
            <v>Hussain Ullah</v>
          </cell>
          <cell r="C1040" t="str">
            <v>BUILDING ROOTS</v>
          </cell>
          <cell r="D1040" t="str">
            <v>Carpenter</v>
          </cell>
        </row>
        <row r="1041">
          <cell r="A1041" t="str">
            <v>2589442199</v>
          </cell>
          <cell r="B1041" t="str">
            <v>Hussien Salman</v>
          </cell>
          <cell r="C1041" t="str">
            <v>ELITE HEART</v>
          </cell>
          <cell r="D1041" t="str">
            <v>Boom Truck Operator</v>
          </cell>
        </row>
        <row r="1042">
          <cell r="A1042" t="str">
            <v>2325184907</v>
          </cell>
          <cell r="B1042" t="str">
            <v>Hussnain Ijaz</v>
          </cell>
          <cell r="C1042" t="str">
            <v>BUILDING ROOTS</v>
          </cell>
          <cell r="D1042" t="str">
            <v>Surveyor</v>
          </cell>
        </row>
        <row r="1043">
          <cell r="A1043" t="str">
            <v>2619911528</v>
          </cell>
          <cell r="B1043" t="str">
            <v>Huzaifa</v>
          </cell>
          <cell r="C1043" t="str">
            <v>BUILDING ROOTS</v>
          </cell>
          <cell r="D1043" t="str">
            <v>Carpenter</v>
          </cell>
        </row>
        <row r="1044">
          <cell r="A1044" t="str">
            <v>2599384779</v>
          </cell>
          <cell r="B1044" t="str">
            <v>Huzaifa Hyder</v>
          </cell>
          <cell r="C1044" t="str">
            <v>SAUDI BAUER</v>
          </cell>
          <cell r="D1044" t="str">
            <v>Safety Officer</v>
          </cell>
        </row>
        <row r="1045">
          <cell r="A1045" t="str">
            <v>2577367655</v>
          </cell>
          <cell r="B1045" t="str">
            <v>Huzaifa Sher</v>
          </cell>
          <cell r="C1045" t="str">
            <v>GLOBAL CASTLES</v>
          </cell>
          <cell r="D1045" t="str">
            <v>Supervisor</v>
          </cell>
        </row>
        <row r="1046">
          <cell r="A1046" t="str">
            <v>2563956834</v>
          </cell>
          <cell r="B1046" t="str">
            <v>Ibad Ullah</v>
          </cell>
          <cell r="C1046" t="str">
            <v>SAUDI BAUER</v>
          </cell>
          <cell r="D1046" t="str">
            <v>Helper</v>
          </cell>
        </row>
        <row r="1047">
          <cell r="A1047" t="str">
            <v>2618433029</v>
          </cell>
          <cell r="B1047" t="str">
            <v>Ibad Ullah</v>
          </cell>
          <cell r="C1047" t="str">
            <v>ELITE HEART</v>
          </cell>
          <cell r="D1047" t="str">
            <v>Helper</v>
          </cell>
        </row>
        <row r="1048">
          <cell r="A1048" t="str">
            <v>2556857007</v>
          </cell>
          <cell r="B1048" t="str">
            <v>Ibad Ullah</v>
          </cell>
          <cell r="C1048" t="str">
            <v>BUILDING ROOTS</v>
          </cell>
          <cell r="D1048" t="str">
            <v>Carpenter</v>
          </cell>
        </row>
        <row r="1049">
          <cell r="A1049" t="str">
            <v>2543688465</v>
          </cell>
          <cell r="B1049" t="str">
            <v>Ibadullah</v>
          </cell>
          <cell r="C1049" t="str">
            <v>GLOBAL CASTLES</v>
          </cell>
          <cell r="D1049" t="str">
            <v>Carpenter</v>
          </cell>
        </row>
        <row r="1050">
          <cell r="A1050" t="str">
            <v>2521910683</v>
          </cell>
          <cell r="B1050" t="str">
            <v>Ibrahim</v>
          </cell>
          <cell r="C1050" t="str">
            <v>SAUDI BAUER</v>
          </cell>
          <cell r="D1050" t="str">
            <v>Electrician</v>
          </cell>
        </row>
        <row r="1051">
          <cell r="A1051" t="str">
            <v>2263639813</v>
          </cell>
          <cell r="B1051" t="str">
            <v>Ibrahim</v>
          </cell>
          <cell r="C1051" t="str">
            <v>BUILDING ROOTS</v>
          </cell>
          <cell r="D1051" t="str">
            <v>Foreman</v>
          </cell>
        </row>
        <row r="1052">
          <cell r="A1052" t="str">
            <v>2575816638</v>
          </cell>
          <cell r="B1052" t="str">
            <v>Ibrahim</v>
          </cell>
          <cell r="C1052" t="str">
            <v>SAUDI BAUER</v>
          </cell>
          <cell r="D1052" t="str">
            <v>Rigger</v>
          </cell>
        </row>
        <row r="1053">
          <cell r="A1053" t="str">
            <v>2553265675</v>
          </cell>
          <cell r="B1053" t="str">
            <v>Ibrahim</v>
          </cell>
          <cell r="C1053" t="str">
            <v>BUILDING ROOTS</v>
          </cell>
          <cell r="D1053" t="str">
            <v>Foreman</v>
          </cell>
        </row>
        <row r="1054">
          <cell r="A1054" t="str">
            <v>1066117238</v>
          </cell>
          <cell r="B1054" t="str">
            <v>Ibrahim Abdullah</v>
          </cell>
          <cell r="C1054" t="str">
            <v>BOUYGUES CONST.</v>
          </cell>
          <cell r="D1054" t="str">
            <v>Civil Engineer</v>
          </cell>
        </row>
        <row r="1055">
          <cell r="A1055" t="str">
            <v>2368144099</v>
          </cell>
          <cell r="B1055" t="str">
            <v>Ibrahim Adel</v>
          </cell>
          <cell r="C1055" t="str">
            <v>ZAMIL STEEL</v>
          </cell>
          <cell r="D1055" t="str">
            <v>Project Manager</v>
          </cell>
        </row>
        <row r="1056">
          <cell r="A1056" t="str">
            <v>1106803699</v>
          </cell>
          <cell r="B1056" t="str">
            <v>Ibrahim Alqurashi</v>
          </cell>
          <cell r="C1056" t="str">
            <v>NFT</v>
          </cell>
          <cell r="D1056" t="str">
            <v>Safety Engineer</v>
          </cell>
        </row>
        <row r="1057">
          <cell r="A1057" t="str">
            <v>2589830948</v>
          </cell>
          <cell r="B1057" t="str">
            <v>Ibrahim Elsayaz</v>
          </cell>
          <cell r="C1057" t="str">
            <v>SAUDI BAUER</v>
          </cell>
          <cell r="D1057" t="str">
            <v>Helper</v>
          </cell>
        </row>
        <row r="1058">
          <cell r="A1058" t="str">
            <v>2583173303</v>
          </cell>
          <cell r="B1058" t="str">
            <v>Ibrahim Khan</v>
          </cell>
          <cell r="C1058" t="str">
            <v>BUILDING ROOTS</v>
          </cell>
          <cell r="D1058" t="str">
            <v>Labour</v>
          </cell>
        </row>
        <row r="1059">
          <cell r="A1059" t="str">
            <v>2559679069</v>
          </cell>
          <cell r="B1059" t="str">
            <v>Ibrahim Khan</v>
          </cell>
          <cell r="C1059" t="str">
            <v>BUILDING ROOTS</v>
          </cell>
          <cell r="D1059" t="str">
            <v>Labour</v>
          </cell>
        </row>
        <row r="1060">
          <cell r="A1060" t="str">
            <v>2448959938</v>
          </cell>
          <cell r="B1060" t="str">
            <v>Ibrahim Mahyoub Abdullah</v>
          </cell>
          <cell r="C1060" t="str">
            <v>BUILDING ROOTS</v>
          </cell>
          <cell r="D1060" t="str">
            <v>Foreman</v>
          </cell>
        </row>
        <row r="1061">
          <cell r="A1061" t="str">
            <v>2520910163</v>
          </cell>
          <cell r="B1061" t="str">
            <v>Ibrahim Miah</v>
          </cell>
          <cell r="C1061" t="str">
            <v>BUILDING ROOTS</v>
          </cell>
          <cell r="D1061" t="str">
            <v>Labour</v>
          </cell>
        </row>
        <row r="1062">
          <cell r="A1062" t="str">
            <v>2568280040</v>
          </cell>
          <cell r="B1062" t="str">
            <v>Ibrahim Mohammed</v>
          </cell>
          <cell r="C1062" t="str">
            <v>ELITE HEART</v>
          </cell>
          <cell r="D1062" t="str">
            <v>Engineer</v>
          </cell>
        </row>
        <row r="1063">
          <cell r="A1063" t="str">
            <v>2515038327</v>
          </cell>
          <cell r="B1063" t="str">
            <v>Ibrahim Najeed</v>
          </cell>
          <cell r="C1063" t="str">
            <v>BUILDING ROOTS</v>
          </cell>
          <cell r="D1063" t="str">
            <v>Foreman</v>
          </cell>
        </row>
        <row r="1064">
          <cell r="A1064" t="str">
            <v>1117401008</v>
          </cell>
          <cell r="B1064" t="str">
            <v>Ibrahim Saleh</v>
          </cell>
          <cell r="C1064" t="str">
            <v>BOUYGUES CONST.</v>
          </cell>
          <cell r="D1064" t="str">
            <v>Civil Engineer</v>
          </cell>
        </row>
        <row r="1065">
          <cell r="A1065" t="str">
            <v>2477227876</v>
          </cell>
          <cell r="B1065" t="str">
            <v>Ibrahim Shah</v>
          </cell>
          <cell r="C1065" t="str">
            <v>ELITE HEART</v>
          </cell>
          <cell r="D1065" t="str">
            <v>Labour</v>
          </cell>
        </row>
        <row r="1066">
          <cell r="A1066" t="str">
            <v>258219762</v>
          </cell>
          <cell r="B1066" t="str">
            <v>Ibrahim Sheikh</v>
          </cell>
          <cell r="C1066" t="str">
            <v>SAUDI BAUER</v>
          </cell>
          <cell r="D1066" t="str">
            <v>Welder</v>
          </cell>
        </row>
        <row r="1067">
          <cell r="A1067" t="str">
            <v>2443619859</v>
          </cell>
          <cell r="B1067" t="str">
            <v>Ibrahim amir</v>
          </cell>
          <cell r="C1067" t="str">
            <v>GLOBAL CASTLE</v>
          </cell>
          <cell r="D1067" t="str">
            <v>Steel Fixer</v>
          </cell>
        </row>
        <row r="1068">
          <cell r="A1068" t="str">
            <v>2521616447</v>
          </cell>
          <cell r="B1068" t="str">
            <v>Ibrahim khan</v>
          </cell>
          <cell r="C1068" t="str">
            <v>UNITED GULF</v>
          </cell>
          <cell r="D1068" t="str">
            <v>welder</v>
          </cell>
        </row>
        <row r="1069">
          <cell r="A1069" t="str">
            <v>2567043977</v>
          </cell>
          <cell r="B1069" t="str">
            <v>Ibrahim taj rahim</v>
          </cell>
          <cell r="C1069" t="str">
            <v>BUILDING ROOTS</v>
          </cell>
          <cell r="D1069" t="str">
            <v>Carpenter</v>
          </cell>
        </row>
        <row r="1070">
          <cell r="A1070" t="str">
            <v>2375308851</v>
          </cell>
          <cell r="B1070" t="str">
            <v>Ibrar Ashraf</v>
          </cell>
          <cell r="C1070" t="str">
            <v>BUILDING ROOTS</v>
          </cell>
          <cell r="D1070" t="str">
            <v>Steel Fixer</v>
          </cell>
        </row>
        <row r="1071">
          <cell r="A1071" t="str">
            <v>2526680190</v>
          </cell>
          <cell r="B1071" t="str">
            <v>Ibrar Khan</v>
          </cell>
          <cell r="C1071" t="str">
            <v>ELITE HEART</v>
          </cell>
          <cell r="D1071" t="str">
            <v>Steel Fixer</v>
          </cell>
        </row>
        <row r="1072">
          <cell r="A1072" t="str">
            <v>2541786865</v>
          </cell>
          <cell r="B1072" t="str">
            <v>Ibrar Khan</v>
          </cell>
          <cell r="C1072" t="str">
            <v>ELITE HEART</v>
          </cell>
          <cell r="D1072" t="str">
            <v>Carpenter</v>
          </cell>
        </row>
        <row r="1073">
          <cell r="A1073" t="str">
            <v>2567679739</v>
          </cell>
          <cell r="B1073" t="str">
            <v>Ibrar Ul Haq</v>
          </cell>
          <cell r="C1073" t="str">
            <v>BUILDING ROOTS</v>
          </cell>
          <cell r="D1073" t="str">
            <v>Foreman</v>
          </cell>
        </row>
        <row r="1074">
          <cell r="A1074" t="str">
            <v>2621058680</v>
          </cell>
          <cell r="B1074" t="str">
            <v>Iftehar Ihmad</v>
          </cell>
          <cell r="C1074" t="str">
            <v>ELITE HEART</v>
          </cell>
          <cell r="D1074" t="str">
            <v>Steel Fixer</v>
          </cell>
        </row>
        <row r="1075">
          <cell r="A1075" t="str">
            <v>2617990128</v>
          </cell>
          <cell r="B1075" t="str">
            <v>Iftekhar Ahmed</v>
          </cell>
          <cell r="C1075" t="str">
            <v>BUILDING ROOTS</v>
          </cell>
          <cell r="D1075" t="str">
            <v>Steel Fixer</v>
          </cell>
        </row>
        <row r="1076">
          <cell r="A1076" t="str">
            <v>2278003823</v>
          </cell>
          <cell r="B1076" t="str">
            <v>Iftikhar</v>
          </cell>
          <cell r="C1076" t="str">
            <v>ALMABANI CONT.</v>
          </cell>
          <cell r="D1076" t="str">
            <v>Mason</v>
          </cell>
        </row>
        <row r="1077">
          <cell r="A1077" t="str">
            <v>2279174839</v>
          </cell>
          <cell r="B1077" t="str">
            <v>Ihsan Ul Haq</v>
          </cell>
          <cell r="C1077" t="str">
            <v>NFT</v>
          </cell>
          <cell r="D1077" t="str">
            <v>Mechanical Team</v>
          </cell>
        </row>
        <row r="1078">
          <cell r="A1078" t="str">
            <v>2589792502</v>
          </cell>
          <cell r="B1078" t="str">
            <v>Ihsan Ullah</v>
          </cell>
          <cell r="C1078" t="str">
            <v>BUILDING ROOTS</v>
          </cell>
          <cell r="D1078" t="str">
            <v>Carpenter</v>
          </cell>
        </row>
        <row r="1079">
          <cell r="A1079" t="str">
            <v>2617077470</v>
          </cell>
          <cell r="B1079" t="str">
            <v>Ihsan Ullah</v>
          </cell>
          <cell r="C1079" t="str">
            <v>BUILDING ROOTS</v>
          </cell>
          <cell r="D1079" t="str">
            <v>Labour</v>
          </cell>
        </row>
        <row r="1080">
          <cell r="A1080" t="str">
            <v>2550325001</v>
          </cell>
          <cell r="B1080" t="str">
            <v>Ijaj Habib</v>
          </cell>
          <cell r="C1080" t="str">
            <v>GLOBAL CASTLES</v>
          </cell>
          <cell r="D1080" t="str">
            <v>Carpenter</v>
          </cell>
        </row>
        <row r="1081">
          <cell r="A1081" t="str">
            <v>2620055638</v>
          </cell>
          <cell r="B1081" t="str">
            <v>Ijaz</v>
          </cell>
          <cell r="C1081" t="str">
            <v>BUILDING ROOTS</v>
          </cell>
          <cell r="D1081" t="str">
            <v>Steel Fixer</v>
          </cell>
        </row>
        <row r="1082">
          <cell r="A1082" t="str">
            <v>2567578915</v>
          </cell>
          <cell r="B1082" t="str">
            <v>Ijaz Ahmed</v>
          </cell>
          <cell r="C1082" t="str">
            <v>BUILDING ROOTS</v>
          </cell>
          <cell r="D1082" t="str">
            <v>Steel Fixer</v>
          </cell>
        </row>
        <row r="1083">
          <cell r="A1083" t="str">
            <v>2621491584</v>
          </cell>
          <cell r="B1083" t="str">
            <v>Ijaz Ahmed</v>
          </cell>
          <cell r="C1083" t="str">
            <v>ELITE HEART</v>
          </cell>
          <cell r="D1083" t="str">
            <v>Steel Fixer</v>
          </cell>
        </row>
        <row r="1084">
          <cell r="A1084" t="str">
            <v>2494873090</v>
          </cell>
          <cell r="B1084" t="str">
            <v>Ijaz Ali</v>
          </cell>
          <cell r="C1084" t="str">
            <v>SAUDI BAUER</v>
          </cell>
          <cell r="D1084" t="str">
            <v>Rigger</v>
          </cell>
        </row>
        <row r="1085">
          <cell r="A1085" t="str">
            <v>2555125098</v>
          </cell>
          <cell r="B1085" t="str">
            <v>Ijaz Ali</v>
          </cell>
          <cell r="C1085" t="str">
            <v>ELITE HEART</v>
          </cell>
          <cell r="D1085" t="str">
            <v>Labour</v>
          </cell>
        </row>
        <row r="1086">
          <cell r="A1086" t="str">
            <v>2470037645</v>
          </cell>
          <cell r="B1086" t="str">
            <v>Ijaz Khan</v>
          </cell>
          <cell r="C1086" t="str">
            <v>BUILDING ROOTS</v>
          </cell>
          <cell r="D1086" t="str">
            <v>Scaffolder</v>
          </cell>
        </row>
        <row r="1087">
          <cell r="A1087" t="str">
            <v>2303325001</v>
          </cell>
          <cell r="B1087" t="str">
            <v>Ijaz Malik</v>
          </cell>
          <cell r="C1087" t="str">
            <v>BUILDING ROOTS</v>
          </cell>
          <cell r="D1087" t="str">
            <v>Carpenter</v>
          </cell>
        </row>
        <row r="1088">
          <cell r="A1088" t="str">
            <v>2532930993</v>
          </cell>
          <cell r="B1088" t="str">
            <v>Ijaz uddin</v>
          </cell>
          <cell r="C1088" t="str">
            <v>BUILDING ROOTS</v>
          </cell>
          <cell r="D1088" t="str">
            <v>foreman labor</v>
          </cell>
        </row>
        <row r="1089">
          <cell r="A1089" t="str">
            <v>2588355897</v>
          </cell>
          <cell r="B1089" t="str">
            <v>Ikbel hossain</v>
          </cell>
          <cell r="C1089" t="str">
            <v>BUILDING ROOTS</v>
          </cell>
          <cell r="D1089" t="str">
            <v>Steel Fixer</v>
          </cell>
        </row>
        <row r="1090">
          <cell r="A1090" t="str">
            <v>2301870305</v>
          </cell>
          <cell r="B1090" t="str">
            <v>Ikram Jamzar</v>
          </cell>
          <cell r="C1090" t="str">
            <v>BUILDING ROOTS</v>
          </cell>
          <cell r="D1090" t="str">
            <v>Foreman</v>
          </cell>
        </row>
        <row r="1091">
          <cell r="A1091" t="str">
            <v>2512972171</v>
          </cell>
          <cell r="B1091" t="str">
            <v>Ikram Qaiser</v>
          </cell>
          <cell r="C1091" t="str">
            <v>ELITE HEART</v>
          </cell>
          <cell r="D1091" t="str">
            <v>Steel Fixer</v>
          </cell>
        </row>
        <row r="1092">
          <cell r="A1092" t="str">
            <v>2592048363</v>
          </cell>
          <cell r="B1092" t="str">
            <v>Ikram Ullah</v>
          </cell>
          <cell r="C1092" t="str">
            <v>BUILDING ROOTS</v>
          </cell>
          <cell r="D1092" t="str">
            <v>Steel Fixer</v>
          </cell>
        </row>
        <row r="1093">
          <cell r="A1093" t="str">
            <v>2567043811</v>
          </cell>
          <cell r="B1093" t="str">
            <v>Ikram Ullah</v>
          </cell>
          <cell r="C1093" t="str">
            <v>BUILDING ROOTS</v>
          </cell>
          <cell r="D1093" t="str">
            <v>Carpenter</v>
          </cell>
        </row>
        <row r="1094">
          <cell r="A1094" t="str">
            <v>2541691099</v>
          </cell>
          <cell r="B1094" t="str">
            <v>Ikram ullah</v>
          </cell>
          <cell r="C1094" t="str">
            <v>BUILDING ROOTS</v>
          </cell>
          <cell r="D1094" t="str">
            <v>Steel Fixer</v>
          </cell>
        </row>
        <row r="1095">
          <cell r="A1095" t="str">
            <v>2382984322</v>
          </cell>
          <cell r="B1095" t="str">
            <v>Ilayas Khan</v>
          </cell>
          <cell r="C1095" t="str">
            <v>BUILDING ROOTS</v>
          </cell>
          <cell r="D1095" t="str">
            <v>Foreman</v>
          </cell>
        </row>
        <row r="1096">
          <cell r="A1096" t="str">
            <v>2632817413</v>
          </cell>
          <cell r="B1096" t="str">
            <v>Ilyas</v>
          </cell>
          <cell r="C1096" t="str">
            <v>BUILDING ROOTS</v>
          </cell>
          <cell r="D1096" t="str">
            <v>Steel Fixer</v>
          </cell>
        </row>
        <row r="1097">
          <cell r="A1097" t="str">
            <v>2619624758</v>
          </cell>
          <cell r="B1097" t="str">
            <v>Ilyas</v>
          </cell>
          <cell r="C1097" t="str">
            <v>BUILDING ROOTS</v>
          </cell>
          <cell r="D1097" t="str">
            <v>Carpenter</v>
          </cell>
        </row>
        <row r="1098">
          <cell r="A1098" t="str">
            <v>2625873472</v>
          </cell>
          <cell r="B1098" t="str">
            <v>Ilyas Khan</v>
          </cell>
          <cell r="C1098" t="str">
            <v>BUILDING ROOTS</v>
          </cell>
          <cell r="D1098" t="str">
            <v>Carpenter</v>
          </cell>
        </row>
        <row r="1099">
          <cell r="A1099" t="str">
            <v>2534462946</v>
          </cell>
          <cell r="B1099" t="str">
            <v>Ilyas Khan</v>
          </cell>
          <cell r="C1099" t="str">
            <v>-</v>
          </cell>
          <cell r="D1099" t="str">
            <v>Carpenter</v>
          </cell>
        </row>
        <row r="1100">
          <cell r="A1100" t="str">
            <v>2522602776</v>
          </cell>
          <cell r="B1100" t="str">
            <v>Ilyas Md</v>
          </cell>
          <cell r="C1100" t="str">
            <v>ALMABANI CONT.</v>
          </cell>
          <cell r="D1100" t="str">
            <v>Painter</v>
          </cell>
        </row>
        <row r="1101">
          <cell r="A1101" t="str">
            <v>2591607029</v>
          </cell>
          <cell r="B1101" t="str">
            <v>Imad</v>
          </cell>
          <cell r="C1101" t="str">
            <v>GLOBAL CASTLE</v>
          </cell>
          <cell r="D1101" t="str">
            <v>Steel Fixer</v>
          </cell>
        </row>
        <row r="1102">
          <cell r="A1102" t="str">
            <v>2438517977</v>
          </cell>
          <cell r="B1102" t="str">
            <v>Imad Azzam</v>
          </cell>
          <cell r="C1102" t="str">
            <v>JV (BBI-AGC)</v>
          </cell>
          <cell r="D1102" t="str">
            <v>Elec Cm</v>
          </cell>
        </row>
        <row r="1103">
          <cell r="A1103" t="str">
            <v>2606675250</v>
          </cell>
          <cell r="B1103" t="str">
            <v>Imamul Hasan</v>
          </cell>
          <cell r="C1103" t="str">
            <v>SAUDI BAUER</v>
          </cell>
          <cell r="D1103" t="str">
            <v>Flagman</v>
          </cell>
        </row>
        <row r="1104">
          <cell r="A1104" t="str">
            <v>2626063958</v>
          </cell>
          <cell r="B1104" t="str">
            <v>Imarul Hosen</v>
          </cell>
          <cell r="C1104" t="str">
            <v>ELITE HEART</v>
          </cell>
          <cell r="D1104" t="str">
            <v>Carpenter</v>
          </cell>
        </row>
        <row r="1105">
          <cell r="A1105" t="str">
            <v>2634253385</v>
          </cell>
          <cell r="B1105" t="str">
            <v>Imdad Ullah</v>
          </cell>
          <cell r="C1105" t="str">
            <v>BUILDING ROOTS</v>
          </cell>
          <cell r="D1105" t="str">
            <v>Carpenter</v>
          </cell>
        </row>
        <row r="1106">
          <cell r="A1106" t="str">
            <v>2523177141</v>
          </cell>
          <cell r="B1106" t="str">
            <v>Imran</v>
          </cell>
          <cell r="C1106" t="str">
            <v>ALMABANI CONT.</v>
          </cell>
          <cell r="D1106" t="str">
            <v>Carpenter</v>
          </cell>
        </row>
        <row r="1107">
          <cell r="A1107" t="str">
            <v>2587171006</v>
          </cell>
          <cell r="B1107" t="str">
            <v>Imran</v>
          </cell>
          <cell r="C1107" t="str">
            <v>BUILDING ROOTS</v>
          </cell>
          <cell r="D1107" t="str">
            <v>Steel Fixer</v>
          </cell>
        </row>
        <row r="1108">
          <cell r="A1108" t="str">
            <v>2614521181</v>
          </cell>
          <cell r="B1108" t="str">
            <v>Imran</v>
          </cell>
          <cell r="C1108" t="str">
            <v>BUILDING ROOTS</v>
          </cell>
          <cell r="D1108" t="str">
            <v>Scaffolder</v>
          </cell>
        </row>
        <row r="1109">
          <cell r="A1109" t="str">
            <v>2521770657</v>
          </cell>
          <cell r="B1109" t="str">
            <v>Imran</v>
          </cell>
          <cell r="C1109" t="str">
            <v>ELITE HEART</v>
          </cell>
          <cell r="D1109" t="str">
            <v>Operator</v>
          </cell>
        </row>
        <row r="1110">
          <cell r="A1110" t="str">
            <v>2522705116</v>
          </cell>
          <cell r="B1110" t="str">
            <v>Imran</v>
          </cell>
          <cell r="C1110" t="str">
            <v>ALMABANI CONT.</v>
          </cell>
          <cell r="D1110" t="str">
            <v>Ambulance Driver</v>
          </cell>
        </row>
        <row r="1111">
          <cell r="A1111" t="str">
            <v>2553715646</v>
          </cell>
          <cell r="B1111" t="str">
            <v>Imran</v>
          </cell>
          <cell r="C1111" t="str">
            <v>BUILDING ROOTS</v>
          </cell>
          <cell r="D1111" t="str">
            <v>Steel Fixer</v>
          </cell>
        </row>
        <row r="1112">
          <cell r="A1112" t="str">
            <v>2584897025</v>
          </cell>
          <cell r="B1112" t="str">
            <v>Imran Ahamad</v>
          </cell>
          <cell r="C1112" t="str">
            <v>MARFA AL SHAMAL</v>
          </cell>
          <cell r="D1112" t="str">
            <v>Supervisor</v>
          </cell>
        </row>
        <row r="1113">
          <cell r="A1113" t="str">
            <v>2535774893</v>
          </cell>
          <cell r="B1113" t="str">
            <v>Imran Ali</v>
          </cell>
          <cell r="C1113" t="str">
            <v>ELITE HEART</v>
          </cell>
          <cell r="D1113" t="str">
            <v>Steel Fixer</v>
          </cell>
        </row>
        <row r="1114">
          <cell r="A1114" t="str">
            <v>2612157228</v>
          </cell>
          <cell r="B1114" t="str">
            <v>Imran Ali</v>
          </cell>
          <cell r="C1114" t="str">
            <v>UNITED GULF</v>
          </cell>
          <cell r="D1114" t="str">
            <v>Foreman</v>
          </cell>
        </row>
        <row r="1115">
          <cell r="A1115" t="str">
            <v>2533275547</v>
          </cell>
          <cell r="B1115" t="str">
            <v>Imran Farooq</v>
          </cell>
          <cell r="C1115" t="str">
            <v>SAUDI BAUER</v>
          </cell>
          <cell r="D1115" t="str">
            <v>Crane Operator</v>
          </cell>
        </row>
        <row r="1116">
          <cell r="A1116" t="str">
            <v>2558175978</v>
          </cell>
          <cell r="B1116" t="str">
            <v>Imran Khan</v>
          </cell>
          <cell r="C1116" t="str">
            <v>ELITE HEART</v>
          </cell>
          <cell r="D1116" t="str">
            <v>Mason</v>
          </cell>
        </row>
        <row r="1117">
          <cell r="A1117" t="str">
            <v>2602080075</v>
          </cell>
          <cell r="B1117" t="str">
            <v>Imran Khan</v>
          </cell>
          <cell r="C1117" t="str">
            <v>ELITE HEART</v>
          </cell>
          <cell r="D1117" t="str">
            <v>Mason</v>
          </cell>
        </row>
        <row r="1118">
          <cell r="A1118" t="str">
            <v>2476966060</v>
          </cell>
          <cell r="B1118" t="str">
            <v>Imran Lal</v>
          </cell>
          <cell r="C1118" t="str">
            <v>BUILDING ROOTS</v>
          </cell>
          <cell r="D1118" t="str">
            <v>Steel Fixer</v>
          </cell>
        </row>
        <row r="1119">
          <cell r="A1119" t="str">
            <v>2615841299</v>
          </cell>
          <cell r="B1119" t="str">
            <v>Imran Shakoor</v>
          </cell>
          <cell r="C1119" t="str">
            <v>BUILDING ROOTS</v>
          </cell>
          <cell r="D1119" t="str">
            <v>Carpenter</v>
          </cell>
        </row>
        <row r="1120">
          <cell r="A1120" t="str">
            <v>2388634863</v>
          </cell>
          <cell r="B1120" t="str">
            <v>Imran sattar</v>
          </cell>
          <cell r="C1120" t="str">
            <v>MACE</v>
          </cell>
          <cell r="D1120" t="str">
            <v>Procurement manager</v>
          </cell>
        </row>
        <row r="1121">
          <cell r="A1121" t="str">
            <v>2541565939</v>
          </cell>
          <cell r="B1121" t="str">
            <v>Imtiaz Husain</v>
          </cell>
          <cell r="C1121" t="str">
            <v>AL AZANI</v>
          </cell>
          <cell r="D1121" t="str">
            <v>Crane Operator</v>
          </cell>
        </row>
        <row r="1122">
          <cell r="A1122" t="str">
            <v>2269619157</v>
          </cell>
          <cell r="B1122" t="str">
            <v>Imtiaz Khan</v>
          </cell>
          <cell r="C1122" t="str">
            <v>ALMABANI CONT.</v>
          </cell>
          <cell r="D1122" t="str">
            <v>Plumber</v>
          </cell>
        </row>
        <row r="1123">
          <cell r="A1123" t="str">
            <v>2602485639</v>
          </cell>
          <cell r="B1123" t="str">
            <v>Imtiaz ahmed</v>
          </cell>
          <cell r="C1123" t="str">
            <v>BUILDING ROOTS</v>
          </cell>
          <cell r="D1123" t="str">
            <v>Steel Fixer</v>
          </cell>
        </row>
        <row r="1124">
          <cell r="A1124" t="str">
            <v>2593712140</v>
          </cell>
          <cell r="B1124" t="str">
            <v>Imtiyaz</v>
          </cell>
          <cell r="C1124" t="str">
            <v>BUILDING ROOTS</v>
          </cell>
          <cell r="D1124" t="str">
            <v>Labour</v>
          </cell>
        </row>
        <row r="1125">
          <cell r="A1125" t="str">
            <v>2599160187</v>
          </cell>
          <cell r="B1125" t="str">
            <v>Inam Ullah</v>
          </cell>
          <cell r="C1125" t="str">
            <v>ELITE HEART</v>
          </cell>
          <cell r="D1125" t="str">
            <v>Pipe Fitter</v>
          </cell>
        </row>
        <row r="1126">
          <cell r="A1126" t="str">
            <v>2622295679</v>
          </cell>
          <cell r="B1126" t="str">
            <v>Inam Ullah</v>
          </cell>
          <cell r="C1126" t="str">
            <v>BUILDING ROOTS</v>
          </cell>
          <cell r="D1126" t="str">
            <v>Carpenter</v>
          </cell>
        </row>
        <row r="1127">
          <cell r="A1127" t="str">
            <v>2603729563</v>
          </cell>
          <cell r="B1127" t="str">
            <v>Inam Ullah Amin Sawab</v>
          </cell>
          <cell r="C1127" t="str">
            <v>ELITE HEART</v>
          </cell>
          <cell r="D1127" t="str">
            <v>Labour</v>
          </cell>
        </row>
        <row r="1128">
          <cell r="A1128" t="str">
            <v>2621580261</v>
          </cell>
          <cell r="B1128" t="str">
            <v>Inamullah</v>
          </cell>
          <cell r="C1128" t="str">
            <v>SAUDI BAUER</v>
          </cell>
          <cell r="D1128" t="str">
            <v>Helper</v>
          </cell>
        </row>
        <row r="1129">
          <cell r="A1129" t="str">
            <v>2552746188</v>
          </cell>
          <cell r="B1129" t="str">
            <v>Inamullah</v>
          </cell>
          <cell r="C1129" t="str">
            <v>TAMIMI</v>
          </cell>
          <cell r="D1129" t="str">
            <v>Carpenter</v>
          </cell>
        </row>
        <row r="1130">
          <cell r="A1130" t="str">
            <v>2633493370</v>
          </cell>
          <cell r="B1130" t="str">
            <v>Insha Ullah</v>
          </cell>
          <cell r="C1130" t="str">
            <v>BUILDING ROOTS</v>
          </cell>
          <cell r="D1130" t="str">
            <v>Carpenter</v>
          </cell>
        </row>
        <row r="1131">
          <cell r="A1131" t="str">
            <v>2617792417</v>
          </cell>
          <cell r="B1131" t="str">
            <v>Intikhab Ali</v>
          </cell>
          <cell r="C1131" t="str">
            <v>BUILDING ROOTS</v>
          </cell>
          <cell r="D1131" t="str">
            <v>Carpenter</v>
          </cell>
        </row>
        <row r="1132">
          <cell r="A1132" t="str">
            <v>2601984715</v>
          </cell>
          <cell r="B1132" t="str">
            <v>Iqbal</v>
          </cell>
          <cell r="C1132" t="str">
            <v>ELITE HEART</v>
          </cell>
          <cell r="D1132" t="str">
            <v>Electrician</v>
          </cell>
        </row>
        <row r="1133">
          <cell r="A1133" t="str">
            <v>2598530679</v>
          </cell>
          <cell r="B1133" t="str">
            <v>Iqbal</v>
          </cell>
          <cell r="C1133" t="str">
            <v>BUILDING ROOTS</v>
          </cell>
          <cell r="D1133" t="str">
            <v>Carpenter</v>
          </cell>
        </row>
        <row r="1134">
          <cell r="A1134" t="str">
            <v>2521771614</v>
          </cell>
          <cell r="B1134" t="str">
            <v>Iqbal Ahmed</v>
          </cell>
          <cell r="C1134" t="str">
            <v>ELITE HEART</v>
          </cell>
          <cell r="D1134" t="str">
            <v>Excavator Operator</v>
          </cell>
        </row>
        <row r="1135">
          <cell r="A1135" t="str">
            <v>25132839</v>
          </cell>
          <cell r="B1135" t="str">
            <v>Iqbal Hussain</v>
          </cell>
          <cell r="C1135" t="str">
            <v>ELITE HEART</v>
          </cell>
          <cell r="D1135" t="str">
            <v>Carpenter</v>
          </cell>
        </row>
        <row r="1136">
          <cell r="A1136" t="str">
            <v>2617849704</v>
          </cell>
          <cell r="B1136" t="str">
            <v>Iqbal Hussan</v>
          </cell>
          <cell r="C1136" t="str">
            <v>ELITE HEART</v>
          </cell>
          <cell r="D1136" t="str">
            <v>Steel Fixer</v>
          </cell>
        </row>
        <row r="1137">
          <cell r="A1137" t="str">
            <v>2552318319</v>
          </cell>
          <cell r="B1137" t="str">
            <v>Iqbal Khan</v>
          </cell>
          <cell r="C1137" t="str">
            <v>SAUDI BAUER</v>
          </cell>
          <cell r="D1137" t="str">
            <v>Helper</v>
          </cell>
        </row>
        <row r="1138">
          <cell r="A1138" t="str">
            <v>2551052634</v>
          </cell>
          <cell r="B1138" t="str">
            <v>Iqbal Shah</v>
          </cell>
          <cell r="C1138" t="str">
            <v>ELITE HEART</v>
          </cell>
          <cell r="D1138" t="str">
            <v>Scaffolder</v>
          </cell>
        </row>
        <row r="1139">
          <cell r="A1139" t="str">
            <v>2625358797</v>
          </cell>
          <cell r="B1139" t="str">
            <v>Iqbal khan</v>
          </cell>
          <cell r="C1139" t="str">
            <v>BUILDING ROOTS</v>
          </cell>
          <cell r="D1139" t="str">
            <v>Labor</v>
          </cell>
        </row>
        <row r="1140">
          <cell r="A1140" t="str">
            <v>2591455452</v>
          </cell>
          <cell r="B1140" t="str">
            <v>Iqtedar Khan</v>
          </cell>
          <cell r="C1140" t="str">
            <v>BUILDING ROOTS</v>
          </cell>
          <cell r="D1140" t="str">
            <v>Labour</v>
          </cell>
        </row>
        <row r="1141">
          <cell r="A1141" t="str">
            <v>2595636271</v>
          </cell>
          <cell r="B1141" t="str">
            <v>Irfan</v>
          </cell>
          <cell r="C1141" t="str">
            <v>ELITE HEART</v>
          </cell>
          <cell r="D1141" t="str">
            <v>Steel Fixer</v>
          </cell>
        </row>
        <row r="1142">
          <cell r="A1142" t="str">
            <v>2522037502</v>
          </cell>
          <cell r="B1142" t="str">
            <v>Irfan</v>
          </cell>
          <cell r="C1142" t="str">
            <v>ALMABANI CONT.</v>
          </cell>
          <cell r="D1142" t="str">
            <v>Painter</v>
          </cell>
        </row>
        <row r="1143">
          <cell r="A1143" t="str">
            <v>2278439217</v>
          </cell>
          <cell r="B1143" t="str">
            <v>Irfan</v>
          </cell>
          <cell r="C1143" t="str">
            <v>ALMABANI CONT.</v>
          </cell>
          <cell r="D1143" t="str">
            <v>Electrician</v>
          </cell>
        </row>
        <row r="1144">
          <cell r="A1144" t="str">
            <v>2362888881</v>
          </cell>
          <cell r="B1144" t="str">
            <v>Irfan Ahmed</v>
          </cell>
          <cell r="C1144" t="str">
            <v>ELITE HEART</v>
          </cell>
          <cell r="D1144" t="str">
            <v>Surveyor</v>
          </cell>
        </row>
        <row r="1145">
          <cell r="A1145" t="str">
            <v>2627383314</v>
          </cell>
          <cell r="B1145" t="str">
            <v>Irfan Rehman</v>
          </cell>
          <cell r="C1145" t="str">
            <v>ELITE HEART</v>
          </cell>
          <cell r="D1145" t="str">
            <v>Carpenter</v>
          </cell>
        </row>
        <row r="1146">
          <cell r="A1146" t="str">
            <v>2619086073</v>
          </cell>
          <cell r="B1146" t="str">
            <v>Irfan Ullah</v>
          </cell>
          <cell r="C1146" t="str">
            <v>BUILDING ROOTS</v>
          </cell>
          <cell r="D1146" t="str">
            <v>-</v>
          </cell>
        </row>
        <row r="1147">
          <cell r="A1147" t="str">
            <v>2604108296</v>
          </cell>
          <cell r="B1147" t="str">
            <v>Irfan Ullah</v>
          </cell>
          <cell r="C1147" t="str">
            <v>BUILDING ROOTS</v>
          </cell>
          <cell r="D1147" t="str">
            <v>Carpenter</v>
          </cell>
        </row>
        <row r="1148">
          <cell r="A1148" t="str">
            <v>2622390405</v>
          </cell>
          <cell r="B1148" t="str">
            <v>Irfan Ullah</v>
          </cell>
          <cell r="C1148" t="str">
            <v>BUILDING ROOTS</v>
          </cell>
          <cell r="D1148" t="str">
            <v>Steel Fixer</v>
          </cell>
        </row>
        <row r="1149">
          <cell r="A1149" t="str">
            <v>2524809361</v>
          </cell>
          <cell r="B1149" t="str">
            <v>Irfanur Rahman</v>
          </cell>
          <cell r="C1149" t="str">
            <v>ALMABANI CONT.</v>
          </cell>
          <cell r="D1149" t="str">
            <v>Loto Specialist</v>
          </cell>
        </row>
        <row r="1150">
          <cell r="A1150" t="str">
            <v>2387243542</v>
          </cell>
          <cell r="B1150" t="str">
            <v>Irshad</v>
          </cell>
          <cell r="C1150" t="str">
            <v>BUILDING ROOTS</v>
          </cell>
          <cell r="D1150" t="str">
            <v>Steel Fixer</v>
          </cell>
        </row>
        <row r="1151">
          <cell r="A1151" t="str">
            <v>2561670593</v>
          </cell>
          <cell r="B1151" t="str">
            <v>Irshad</v>
          </cell>
          <cell r="C1151" t="str">
            <v>BUILDING ROOTS</v>
          </cell>
          <cell r="D1151" t="str">
            <v>Labour</v>
          </cell>
        </row>
        <row r="1152">
          <cell r="A1152" t="str">
            <v>2618266282</v>
          </cell>
          <cell r="B1152" t="str">
            <v>Irshad</v>
          </cell>
          <cell r="C1152" t="str">
            <v>BUILDING ROOTS</v>
          </cell>
          <cell r="D1152" t="str">
            <v>operator forklift</v>
          </cell>
        </row>
        <row r="1153">
          <cell r="A1153" t="str">
            <v>2250072085</v>
          </cell>
          <cell r="B1153" t="str">
            <v>Isdaddriss</v>
          </cell>
          <cell r="C1153" t="str">
            <v>ARABIAN TOWER</v>
          </cell>
          <cell r="D1153" t="str">
            <v>Tower Crane Supervisor</v>
          </cell>
        </row>
        <row r="1154">
          <cell r="A1154" t="str">
            <v>2611075561</v>
          </cell>
          <cell r="B1154" t="str">
            <v>Ishaq</v>
          </cell>
          <cell r="C1154" t="str">
            <v>GLOBAL CASTLE</v>
          </cell>
          <cell r="D1154" t="str">
            <v>Steel Fixer</v>
          </cell>
        </row>
        <row r="1155">
          <cell r="A1155" t="str">
            <v>2616989030</v>
          </cell>
          <cell r="B1155" t="str">
            <v>Ishaq Khan</v>
          </cell>
          <cell r="C1155" t="str">
            <v>BUILDING ROOTS</v>
          </cell>
          <cell r="D1155" t="str">
            <v>Helper</v>
          </cell>
        </row>
        <row r="1156">
          <cell r="A1156" t="str">
            <v>2580250484</v>
          </cell>
          <cell r="B1156" t="str">
            <v>Ishsan</v>
          </cell>
          <cell r="C1156" t="str">
            <v>BUILDING ROOTS</v>
          </cell>
          <cell r="D1156" t="str">
            <v>Steel Fixer</v>
          </cell>
        </row>
        <row r="1157">
          <cell r="A1157" t="str">
            <v>2526590035</v>
          </cell>
          <cell r="B1157" t="str">
            <v>Islam</v>
          </cell>
          <cell r="C1157" t="str">
            <v>SAUDI BAUER</v>
          </cell>
          <cell r="D1157" t="str">
            <v>Male Nurse</v>
          </cell>
        </row>
        <row r="1158">
          <cell r="A1158" t="str">
            <v>2531248652</v>
          </cell>
          <cell r="B1158" t="str">
            <v>Islam</v>
          </cell>
          <cell r="C1158" t="str">
            <v>BUILDING ROOTS</v>
          </cell>
          <cell r="D1158" t="str">
            <v>Labour</v>
          </cell>
        </row>
        <row r="1159">
          <cell r="A1159" t="str">
            <v>2548831502</v>
          </cell>
          <cell r="B1159" t="str">
            <v>Islam Gul</v>
          </cell>
          <cell r="C1159" t="str">
            <v>ELITE HEART</v>
          </cell>
          <cell r="D1159" t="str">
            <v>Mason</v>
          </cell>
        </row>
        <row r="1160">
          <cell r="A1160" t="str">
            <v>2404677177</v>
          </cell>
          <cell r="B1160" t="str">
            <v>Islam mahmoud</v>
          </cell>
          <cell r="C1160" t="str">
            <v>Cretec</v>
          </cell>
          <cell r="D1160" t="str">
            <v>PM</v>
          </cell>
        </row>
        <row r="1161">
          <cell r="A1161" t="str">
            <v>2122273010</v>
          </cell>
          <cell r="B1161" t="str">
            <v>Islam uddin</v>
          </cell>
          <cell r="C1161" t="str">
            <v>BUILDING ROOTS</v>
          </cell>
          <cell r="D1161" t="str">
            <v>mason</v>
          </cell>
        </row>
        <row r="1162">
          <cell r="A1162" t="str">
            <v>2532930647</v>
          </cell>
          <cell r="B1162" t="str">
            <v>Islam ullah</v>
          </cell>
          <cell r="C1162" t="str">
            <v>BUILDING ROOTS</v>
          </cell>
          <cell r="D1162" t="str">
            <v>labor</v>
          </cell>
        </row>
        <row r="1163">
          <cell r="A1163" t="str">
            <v>2299971180</v>
          </cell>
          <cell r="B1163" t="str">
            <v>Ismail</v>
          </cell>
          <cell r="C1163" t="str">
            <v>BUILDING ROOTS</v>
          </cell>
          <cell r="D1163" t="str">
            <v>Foreman</v>
          </cell>
        </row>
        <row r="1164">
          <cell r="A1164" t="str">
            <v>2364563375</v>
          </cell>
          <cell r="B1164" t="str">
            <v>Ismail</v>
          </cell>
          <cell r="C1164" t="str">
            <v>BUILDING ROOTS</v>
          </cell>
          <cell r="D1164" t="str">
            <v>Carpenter</v>
          </cell>
        </row>
        <row r="1165">
          <cell r="A1165" t="str">
            <v>2579849437</v>
          </cell>
          <cell r="B1165" t="str">
            <v>Ismail Abdulaziz</v>
          </cell>
          <cell r="C1165" t="str">
            <v>BOUYGUES CONST.</v>
          </cell>
          <cell r="D1165" t="str">
            <v>Senior Site Supervisor</v>
          </cell>
        </row>
        <row r="1166">
          <cell r="A1166" t="str">
            <v>2515836506</v>
          </cell>
          <cell r="B1166" t="str">
            <v>Ismail Hegazy</v>
          </cell>
          <cell r="C1166" t="str">
            <v>APPLUS ARABIA</v>
          </cell>
          <cell r="D1166" t="str">
            <v>Helper</v>
          </cell>
        </row>
        <row r="1167">
          <cell r="A1167" t="str">
            <v>2621302153</v>
          </cell>
          <cell r="B1167" t="str">
            <v>Ismail Khan</v>
          </cell>
          <cell r="C1167" t="str">
            <v>SAUDI BAUER</v>
          </cell>
          <cell r="D1167" t="str">
            <v>Helper</v>
          </cell>
        </row>
        <row r="1168">
          <cell r="A1168" t="str">
            <v>2391463292</v>
          </cell>
          <cell r="B1168" t="str">
            <v>Ismail Khan</v>
          </cell>
          <cell r="C1168" t="str">
            <v>BUILDING ROOTS</v>
          </cell>
          <cell r="D1168" t="str">
            <v>Foreman</v>
          </cell>
        </row>
        <row r="1169">
          <cell r="A1169" t="str">
            <v>2603625846</v>
          </cell>
          <cell r="B1169" t="str">
            <v>Ismail Khan</v>
          </cell>
          <cell r="C1169" t="str">
            <v>BUILDING ROOTS</v>
          </cell>
          <cell r="D1169" t="str">
            <v>Steel Fixer</v>
          </cell>
        </row>
        <row r="1170">
          <cell r="A1170" t="str">
            <v>2603625746</v>
          </cell>
          <cell r="B1170" t="str">
            <v>Ismail Khan</v>
          </cell>
          <cell r="C1170" t="str">
            <v>BUILDING ROOTS</v>
          </cell>
          <cell r="D1170" t="str">
            <v>Steel Fixer</v>
          </cell>
        </row>
        <row r="1171">
          <cell r="A1171" t="str">
            <v>2597572896</v>
          </cell>
          <cell r="B1171" t="str">
            <v>Ismail Salam</v>
          </cell>
          <cell r="C1171" t="str">
            <v>GLOBAL CASTLES</v>
          </cell>
          <cell r="D1171" t="str">
            <v>Labour</v>
          </cell>
        </row>
        <row r="1172">
          <cell r="A1172" t="str">
            <v>2516712334</v>
          </cell>
          <cell r="B1172" t="str">
            <v>Ismail Sardar</v>
          </cell>
          <cell r="C1172" t="str">
            <v>GLOBAL CASTLES</v>
          </cell>
          <cell r="D1172" t="str">
            <v>Foreman</v>
          </cell>
        </row>
        <row r="1173">
          <cell r="A1173" t="str">
            <v>2604111704</v>
          </cell>
          <cell r="B1173" t="str">
            <v>Ismail saeed</v>
          </cell>
          <cell r="C1173" t="str">
            <v>BUILDING ROOTS</v>
          </cell>
          <cell r="D1173" t="str">
            <v>labor</v>
          </cell>
        </row>
        <row r="1174">
          <cell r="A1174" t="str">
            <v>2530985056</v>
          </cell>
          <cell r="B1174" t="str">
            <v>Israful Ahmed</v>
          </cell>
          <cell r="C1174" t="str">
            <v>ELITE HEART</v>
          </cell>
          <cell r="D1174" t="str">
            <v>Operator</v>
          </cell>
        </row>
        <row r="1175">
          <cell r="A1175" t="str">
            <v>2518778986</v>
          </cell>
          <cell r="B1175" t="str">
            <v>Israr Khan</v>
          </cell>
          <cell r="C1175" t="str">
            <v>ELITE HEART</v>
          </cell>
          <cell r="D1175" t="str">
            <v>Steel Fixer</v>
          </cell>
        </row>
        <row r="1176">
          <cell r="A1176" t="str">
            <v>2602200368</v>
          </cell>
          <cell r="B1176" t="str">
            <v>Israr Khan</v>
          </cell>
          <cell r="C1176" t="str">
            <v>ELITE HEART</v>
          </cell>
          <cell r="D1176" t="str">
            <v>Steel Fixer</v>
          </cell>
        </row>
        <row r="1177">
          <cell r="A1177" t="str">
            <v>2608170672</v>
          </cell>
          <cell r="B1177" t="str">
            <v>Israr Uddin</v>
          </cell>
          <cell r="C1177" t="str">
            <v>BUILDING ROOTS</v>
          </cell>
          <cell r="D1177" t="str">
            <v>Steel Fixer</v>
          </cell>
        </row>
        <row r="1178">
          <cell r="A1178" t="str">
            <v>2558945511</v>
          </cell>
          <cell r="B1178" t="str">
            <v>Israr shah</v>
          </cell>
          <cell r="C1178" t="str">
            <v>Cretec</v>
          </cell>
          <cell r="D1178" t="str">
            <v>roofer</v>
          </cell>
        </row>
        <row r="1179">
          <cell r="A1179" t="str">
            <v>2616468456</v>
          </cell>
          <cell r="B1179" t="str">
            <v>Izaz Ur Rehman</v>
          </cell>
          <cell r="C1179" t="str">
            <v>ELITE HEART</v>
          </cell>
          <cell r="D1179" t="str">
            <v>Labour</v>
          </cell>
        </row>
        <row r="1180">
          <cell r="A1180" t="str">
            <v>2595152220</v>
          </cell>
          <cell r="B1180" t="str">
            <v>Izaz ahmed</v>
          </cell>
          <cell r="C1180" t="str">
            <v>GLOBAL CASTLE</v>
          </cell>
          <cell r="D1180" t="str">
            <v>foreman steel</v>
          </cell>
        </row>
        <row r="1181">
          <cell r="A1181" t="str">
            <v>2615649478</v>
          </cell>
          <cell r="B1181" t="str">
            <v>Jabed Hasan</v>
          </cell>
          <cell r="C1181" t="str">
            <v>GLOBAL CASTLES</v>
          </cell>
          <cell r="D1181" t="str">
            <v>Rigger</v>
          </cell>
        </row>
        <row r="1182">
          <cell r="A1182" t="str">
            <v>2548835897</v>
          </cell>
          <cell r="B1182" t="str">
            <v>Jabid Khan</v>
          </cell>
          <cell r="C1182" t="str">
            <v>BUILDING ROOTS</v>
          </cell>
          <cell r="D1182" t="str">
            <v>Steel Fixer</v>
          </cell>
        </row>
        <row r="1183">
          <cell r="A1183" t="str">
            <v>2532406028</v>
          </cell>
          <cell r="B1183" t="str">
            <v>Jabran Uddin</v>
          </cell>
          <cell r="C1183" t="str">
            <v>TAMIMI</v>
          </cell>
          <cell r="D1183" t="str">
            <v>Carpenter</v>
          </cell>
        </row>
        <row r="1184">
          <cell r="A1184" t="str">
            <v>2421963949</v>
          </cell>
          <cell r="B1184" t="str">
            <v>Jafar Ali</v>
          </cell>
          <cell r="C1184" t="str">
            <v>ELITE HEART</v>
          </cell>
          <cell r="D1184" t="str">
            <v>Carpenter</v>
          </cell>
        </row>
        <row r="1185">
          <cell r="A1185" t="str">
            <v>2121652974</v>
          </cell>
          <cell r="B1185" t="str">
            <v>Jahan Reazuddin</v>
          </cell>
          <cell r="C1185" t="str">
            <v>GLOBAL CASTLES</v>
          </cell>
          <cell r="D1185" t="str">
            <v>Electrician</v>
          </cell>
        </row>
        <row r="1186">
          <cell r="A1186" t="str">
            <v>2560258986</v>
          </cell>
          <cell r="B1186" t="str">
            <v>Jahangir Hosen</v>
          </cell>
          <cell r="C1186" t="str">
            <v>GLOBAL CASTLES</v>
          </cell>
          <cell r="D1186" t="str">
            <v>Labour</v>
          </cell>
        </row>
        <row r="1187">
          <cell r="A1187" t="str">
            <v>2625730219</v>
          </cell>
          <cell r="B1187" t="str">
            <v>Jahangir hossen</v>
          </cell>
          <cell r="C1187" t="str">
            <v>GLOBAL CASTLE</v>
          </cell>
          <cell r="D1187" t="str">
            <v>Steel Fixer</v>
          </cell>
        </row>
        <row r="1188">
          <cell r="A1188" t="str">
            <v>2189390756</v>
          </cell>
          <cell r="B1188" t="str">
            <v>Jahansher Jamshaid</v>
          </cell>
          <cell r="C1188" t="str">
            <v>ARABIAN TOWER</v>
          </cell>
          <cell r="D1188" t="str">
            <v>Tower Crane Operator</v>
          </cell>
        </row>
        <row r="1189">
          <cell r="A1189" t="str">
            <v>2517713570</v>
          </cell>
          <cell r="B1189" t="str">
            <v>Jahanzeb Khan</v>
          </cell>
          <cell r="C1189" t="str">
            <v>BUILDING ROOTS</v>
          </cell>
          <cell r="D1189" t="str">
            <v>Labour</v>
          </cell>
        </row>
        <row r="1190">
          <cell r="A1190" t="str">
            <v>2595439791</v>
          </cell>
          <cell r="B1190" t="str">
            <v>Jahidul islam</v>
          </cell>
          <cell r="C1190" t="str">
            <v>AL MUMAYAZ</v>
          </cell>
          <cell r="D1190" t="str">
            <v>helper</v>
          </cell>
        </row>
        <row r="1191">
          <cell r="A1191" t="str">
            <v>2612024410</v>
          </cell>
          <cell r="B1191" t="str">
            <v>Jahsim</v>
          </cell>
          <cell r="C1191" t="str">
            <v>GLOBAL CASTLES</v>
          </cell>
          <cell r="D1191" t="str">
            <v>Labour</v>
          </cell>
        </row>
        <row r="1192">
          <cell r="A1192" t="str">
            <v>2517937807</v>
          </cell>
          <cell r="B1192" t="str">
            <v>Jakaria</v>
          </cell>
          <cell r="C1192" t="str">
            <v>SAUDI BAUER</v>
          </cell>
          <cell r="D1192" t="str">
            <v>Rigger</v>
          </cell>
        </row>
        <row r="1193">
          <cell r="A1193" t="str">
            <v>2609784554</v>
          </cell>
          <cell r="B1193" t="str">
            <v>Jakir Hossain</v>
          </cell>
          <cell r="C1193" t="str">
            <v>GLOBAL CASTLES</v>
          </cell>
          <cell r="D1193" t="str">
            <v>Labour</v>
          </cell>
        </row>
        <row r="1194">
          <cell r="A1194" t="str">
            <v>2609816554</v>
          </cell>
          <cell r="B1194" t="str">
            <v>Jakir Hossen</v>
          </cell>
          <cell r="C1194" t="str">
            <v>BUILDING ROOTS</v>
          </cell>
          <cell r="D1194" t="str">
            <v>Steel Fixer</v>
          </cell>
        </row>
        <row r="1195">
          <cell r="A1195" t="str">
            <v>2573869829</v>
          </cell>
          <cell r="B1195" t="str">
            <v>Jakir Hossen</v>
          </cell>
          <cell r="C1195" t="str">
            <v>GLOBAL CASTLES</v>
          </cell>
          <cell r="D1195" t="str">
            <v>Carpenter</v>
          </cell>
        </row>
        <row r="1196">
          <cell r="A1196" t="str">
            <v>2535289223</v>
          </cell>
          <cell r="B1196" t="str">
            <v>Jalal</v>
          </cell>
          <cell r="C1196" t="str">
            <v>BUILDING ROOTS</v>
          </cell>
          <cell r="D1196" t="str">
            <v>Steel Fixer</v>
          </cell>
        </row>
        <row r="1197">
          <cell r="A1197" t="str">
            <v>2602847721</v>
          </cell>
          <cell r="B1197" t="str">
            <v>Jallal Khan</v>
          </cell>
          <cell r="C1197" t="str">
            <v>BUILDING ROOTS</v>
          </cell>
          <cell r="D1197" t="str">
            <v>Labour</v>
          </cell>
        </row>
        <row r="1198">
          <cell r="A1198" t="str">
            <v>6166806372</v>
          </cell>
          <cell r="B1198" t="str">
            <v>Jalquinet</v>
          </cell>
          <cell r="C1198" t="str">
            <v>AALICO</v>
          </cell>
          <cell r="D1198" t="str">
            <v>Gerant CEO</v>
          </cell>
        </row>
        <row r="1199">
          <cell r="A1199" t="str">
            <v>2519833939</v>
          </cell>
          <cell r="B1199" t="str">
            <v>Jamal</v>
          </cell>
          <cell r="C1199" t="str">
            <v>BUILDING ROOTS</v>
          </cell>
          <cell r="D1199" t="str">
            <v>Carpenter</v>
          </cell>
        </row>
        <row r="1200">
          <cell r="A1200" t="str">
            <v>2267874465</v>
          </cell>
          <cell r="B1200" t="str">
            <v>Jamal</v>
          </cell>
          <cell r="C1200" t="str">
            <v>SAUDI BAUER</v>
          </cell>
          <cell r="D1200" t="str">
            <v>Supervisor</v>
          </cell>
        </row>
        <row r="1201">
          <cell r="A1201" t="str">
            <v>2592766402</v>
          </cell>
          <cell r="B1201" t="str">
            <v>Jamal Hossain</v>
          </cell>
          <cell r="C1201" t="str">
            <v>BUILDING ROOTS</v>
          </cell>
          <cell r="D1201" t="str">
            <v>Steel Fixer</v>
          </cell>
        </row>
        <row r="1202">
          <cell r="A1202" t="str">
            <v>2326784572</v>
          </cell>
          <cell r="B1202" t="str">
            <v>Jamshaid</v>
          </cell>
          <cell r="C1202" t="str">
            <v>BUILDING ROOTS</v>
          </cell>
          <cell r="D1202" t="str">
            <v>Scaffolder</v>
          </cell>
        </row>
        <row r="1203">
          <cell r="A1203" t="str">
            <v>2611610854</v>
          </cell>
          <cell r="B1203" t="str">
            <v>Jamshed Khan</v>
          </cell>
          <cell r="C1203" t="str">
            <v>ELITE HEART</v>
          </cell>
          <cell r="D1203" t="str">
            <v>Steel Fixer</v>
          </cell>
        </row>
        <row r="1204">
          <cell r="A1204" t="str">
            <v>2274329719</v>
          </cell>
          <cell r="B1204" t="str">
            <v>Jan Muhamad</v>
          </cell>
          <cell r="C1204" t="str">
            <v>AL AZANI</v>
          </cell>
          <cell r="D1204" t="str">
            <v>Tower Crane Operator</v>
          </cell>
        </row>
        <row r="1205">
          <cell r="A1205" t="str">
            <v>2527667774</v>
          </cell>
          <cell r="B1205" t="str">
            <v>Jan Zada</v>
          </cell>
          <cell r="C1205" t="str">
            <v>ELITE HEART</v>
          </cell>
          <cell r="D1205" t="str">
            <v>Helper</v>
          </cell>
        </row>
        <row r="1206">
          <cell r="A1206" t="str">
            <v>2610687101</v>
          </cell>
          <cell r="B1206" t="str">
            <v>Jashim</v>
          </cell>
          <cell r="C1206" t="str">
            <v>GLOBAL CASTLES</v>
          </cell>
          <cell r="D1206" t="str">
            <v>Labour</v>
          </cell>
        </row>
        <row r="1207">
          <cell r="A1207" t="str">
            <v>2255202000</v>
          </cell>
          <cell r="B1207" t="str">
            <v>Jashim uddin</v>
          </cell>
          <cell r="C1207" t="str">
            <v>BUILDING ROOTS</v>
          </cell>
          <cell r="D1207" t="str">
            <v>mason</v>
          </cell>
        </row>
        <row r="1208">
          <cell r="A1208" t="str">
            <v>2607961470</v>
          </cell>
          <cell r="B1208" t="str">
            <v>Jasim Uddin</v>
          </cell>
          <cell r="C1208" t="str">
            <v>SAUDI BAUER</v>
          </cell>
          <cell r="D1208" t="str">
            <v>Flag Man</v>
          </cell>
        </row>
        <row r="1209">
          <cell r="A1209" t="str">
            <v>2554778262</v>
          </cell>
          <cell r="B1209" t="str">
            <v>Jasim Uddin</v>
          </cell>
          <cell r="C1209" t="str">
            <v>JV (BBI-AGC)</v>
          </cell>
          <cell r="D1209" t="str">
            <v>Rigger</v>
          </cell>
        </row>
        <row r="1210">
          <cell r="A1210" t="str">
            <v>2607961410</v>
          </cell>
          <cell r="B1210" t="str">
            <v>Jasim Uddin</v>
          </cell>
          <cell r="C1210" t="str">
            <v>GLOBAL CASTLES</v>
          </cell>
          <cell r="D1210" t="str">
            <v>Labour</v>
          </cell>
        </row>
        <row r="1211">
          <cell r="A1211" t="str">
            <v>2622570824</v>
          </cell>
          <cell r="B1211" t="str">
            <v>Jatlidul islam</v>
          </cell>
          <cell r="C1211" t="str">
            <v>ANNAQ</v>
          </cell>
          <cell r="D1211" t="str">
            <v>Helper</v>
          </cell>
        </row>
        <row r="1212">
          <cell r="A1212" t="str">
            <v>2610652618</v>
          </cell>
          <cell r="B1212" t="str">
            <v>Javed</v>
          </cell>
          <cell r="C1212" t="str">
            <v>ELITE HEART</v>
          </cell>
          <cell r="D1212" t="str">
            <v>Steel Fixer</v>
          </cell>
        </row>
        <row r="1213">
          <cell r="A1213" t="str">
            <v>2521892899</v>
          </cell>
          <cell r="B1213" t="str">
            <v>Javed</v>
          </cell>
          <cell r="C1213" t="str">
            <v>BUILDING ROOTS</v>
          </cell>
          <cell r="D1213" t="str">
            <v>Scaffolder</v>
          </cell>
        </row>
        <row r="1214">
          <cell r="A1214" t="str">
            <v>2536311182</v>
          </cell>
          <cell r="B1214" t="str">
            <v>Javed</v>
          </cell>
          <cell r="C1214" t="str">
            <v>BUILDING ROOTS</v>
          </cell>
          <cell r="D1214" t="str">
            <v>Carpenter</v>
          </cell>
        </row>
        <row r="1215">
          <cell r="A1215" t="str">
            <v>2593613041</v>
          </cell>
          <cell r="B1215" t="str">
            <v>Javed Akhtar</v>
          </cell>
          <cell r="C1215" t="str">
            <v>NFT</v>
          </cell>
          <cell r="D1215" t="str">
            <v>Operator</v>
          </cell>
        </row>
        <row r="1216">
          <cell r="A1216" t="str">
            <v>2418150930</v>
          </cell>
          <cell r="B1216" t="str">
            <v>Javed Alam Khan</v>
          </cell>
          <cell r="C1216" t="str">
            <v>ALMABANI CONT.</v>
          </cell>
          <cell r="D1216" t="str">
            <v>Rigger</v>
          </cell>
        </row>
        <row r="1217">
          <cell r="A1217" t="str">
            <v>2413152659</v>
          </cell>
          <cell r="B1217" t="str">
            <v>Javed Iqbal</v>
          </cell>
          <cell r="C1217" t="str">
            <v>ELITE HEART</v>
          </cell>
          <cell r="D1217" t="str">
            <v>Labour</v>
          </cell>
        </row>
        <row r="1218">
          <cell r="A1218" t="str">
            <v>2550251181</v>
          </cell>
          <cell r="B1218" t="str">
            <v>Javed Iqbal</v>
          </cell>
          <cell r="C1218" t="str">
            <v>SAUDI ENVIROZONE</v>
          </cell>
          <cell r="D1218" t="str">
            <v>Project Technician</v>
          </cell>
        </row>
        <row r="1219">
          <cell r="A1219" t="str">
            <v>2571694708</v>
          </cell>
          <cell r="B1219" t="str">
            <v>Javeed mamdad</v>
          </cell>
          <cell r="C1219" t="str">
            <v>NFT</v>
          </cell>
          <cell r="D1219" t="str">
            <v>Operator</v>
          </cell>
        </row>
        <row r="1220">
          <cell r="A1220" t="str">
            <v>2530124714</v>
          </cell>
          <cell r="B1220" t="str">
            <v>Jawaad Ansari</v>
          </cell>
          <cell r="C1220" t="str">
            <v>BOUYGUES CONST.</v>
          </cell>
          <cell r="D1220" t="str">
            <v>Sr. Mech Eng</v>
          </cell>
        </row>
        <row r="1221">
          <cell r="A1221" t="str">
            <v>2606394985</v>
          </cell>
          <cell r="B1221" t="str">
            <v>Jawad</v>
          </cell>
          <cell r="C1221" t="str">
            <v>BUILDING ROOTS</v>
          </cell>
          <cell r="D1221" t="str">
            <v>Steel Fixer</v>
          </cell>
        </row>
        <row r="1222">
          <cell r="A1222" t="str">
            <v>2534679671</v>
          </cell>
          <cell r="B1222" t="str">
            <v>Jawad Ahmad</v>
          </cell>
          <cell r="C1222" t="str">
            <v>ALMABANI CONT.</v>
          </cell>
          <cell r="D1222" t="str">
            <v>Electrician</v>
          </cell>
        </row>
        <row r="1223">
          <cell r="A1223" t="str">
            <v>2599383243</v>
          </cell>
          <cell r="B1223" t="str">
            <v>Jawad Ali</v>
          </cell>
          <cell r="C1223" t="str">
            <v>SAUDI BAUER</v>
          </cell>
          <cell r="D1223" t="str">
            <v>Construction Manager</v>
          </cell>
        </row>
        <row r="1224">
          <cell r="A1224" t="str">
            <v>2556147557</v>
          </cell>
          <cell r="B1224" t="str">
            <v>Jawad Khan</v>
          </cell>
          <cell r="C1224" t="str">
            <v>BUILDING ROOTS</v>
          </cell>
          <cell r="D1224" t="str">
            <v>Scaffold Inspector</v>
          </cell>
        </row>
        <row r="1225">
          <cell r="A1225" t="str">
            <v>2591861097</v>
          </cell>
          <cell r="B1225" t="str">
            <v>Jawad Khan</v>
          </cell>
          <cell r="C1225" t="str">
            <v>SAUDI BAUER</v>
          </cell>
          <cell r="D1225" t="str">
            <v>Helper</v>
          </cell>
        </row>
        <row r="1226">
          <cell r="A1226" t="str">
            <v>2539617601</v>
          </cell>
          <cell r="B1226" t="str">
            <v>Jawad Ur Rehman</v>
          </cell>
          <cell r="C1226" t="str">
            <v>BUILDING ROOTS</v>
          </cell>
          <cell r="D1226" t="str">
            <v>Labour</v>
          </cell>
        </row>
        <row r="1227">
          <cell r="A1227" t="str">
            <v>2571931084</v>
          </cell>
          <cell r="B1227" t="str">
            <v>Jawad khan</v>
          </cell>
          <cell r="C1227" t="str">
            <v>ELITE HEART</v>
          </cell>
          <cell r="D1227" t="str">
            <v>scaffolder</v>
          </cell>
        </row>
        <row r="1228">
          <cell r="A1228" t="str">
            <v>2586800878</v>
          </cell>
          <cell r="B1228" t="str">
            <v>Jawadullah</v>
          </cell>
          <cell r="C1228" t="str">
            <v>NFT</v>
          </cell>
          <cell r="D1228" t="str">
            <v>Operator</v>
          </cell>
        </row>
        <row r="1229">
          <cell r="A1229" t="str">
            <v>2420270973</v>
          </cell>
          <cell r="B1229" t="str">
            <v>Jawahar singh</v>
          </cell>
          <cell r="C1229" t="str">
            <v>ELITE HEART</v>
          </cell>
          <cell r="D1229" t="str">
            <v>Carpenter</v>
          </cell>
        </row>
        <row r="1230">
          <cell r="A1230" t="str">
            <v>2522655717</v>
          </cell>
          <cell r="B1230" t="str">
            <v>Jawaid</v>
          </cell>
          <cell r="C1230" t="str">
            <v>ALMABANI CONT.</v>
          </cell>
          <cell r="D1230" t="str">
            <v>Electrician</v>
          </cell>
        </row>
        <row r="1231">
          <cell r="A1231" t="str">
            <v>2615967292</v>
          </cell>
          <cell r="B1231" t="str">
            <v>Jawed Anwer</v>
          </cell>
          <cell r="C1231" t="str">
            <v>ELITE HEART</v>
          </cell>
          <cell r="D1231" t="str">
            <v>Steel Fixer</v>
          </cell>
        </row>
        <row r="1232">
          <cell r="A1232" t="str">
            <v>2424071658</v>
          </cell>
          <cell r="B1232" t="str">
            <v>Jayson Andal</v>
          </cell>
          <cell r="C1232" t="str">
            <v>ALMABANI CONT.</v>
          </cell>
          <cell r="D1232" t="str">
            <v>Plumber</v>
          </cell>
        </row>
        <row r="1233">
          <cell r="A1233" t="str">
            <v>2269665945</v>
          </cell>
          <cell r="B1233" t="str">
            <v>Jehad Muhammad</v>
          </cell>
          <cell r="C1233" t="str">
            <v>BUILDING ROOTS</v>
          </cell>
          <cell r="D1233" t="str">
            <v>Foreman Carpenter</v>
          </cell>
        </row>
        <row r="1234">
          <cell r="A1234" t="str">
            <v>2481871974</v>
          </cell>
          <cell r="B1234" t="str">
            <v>Jerry Tatoy</v>
          </cell>
          <cell r="C1234" t="str">
            <v>ALMABANI CONT.</v>
          </cell>
          <cell r="D1234" t="str">
            <v>-</v>
          </cell>
        </row>
        <row r="1235">
          <cell r="A1235" t="str">
            <v>2569849827</v>
          </cell>
          <cell r="B1235" t="str">
            <v>Jhangir</v>
          </cell>
          <cell r="C1235" t="str">
            <v>ELITE HEART</v>
          </cell>
          <cell r="D1235" t="str">
            <v>Labour</v>
          </cell>
        </row>
        <row r="1236">
          <cell r="A1236" t="str">
            <v>2559574229</v>
          </cell>
          <cell r="B1236" t="str">
            <v>Jhangir</v>
          </cell>
          <cell r="C1236" t="str">
            <v>BUILDING ROOTS</v>
          </cell>
          <cell r="D1236" t="str">
            <v>Labor</v>
          </cell>
        </row>
        <row r="1237">
          <cell r="A1237" t="str">
            <v>2599728736</v>
          </cell>
          <cell r="B1237" t="str">
            <v>Jhangir Khan</v>
          </cell>
          <cell r="C1237" t="str">
            <v>VEOLIA</v>
          </cell>
          <cell r="D1237" t="str">
            <v>-</v>
          </cell>
        </row>
        <row r="1238">
          <cell r="A1238" t="str">
            <v>2522313804</v>
          </cell>
          <cell r="B1238" t="str">
            <v>Jhantu Mondal</v>
          </cell>
          <cell r="C1238" t="str">
            <v>ELITE HEART</v>
          </cell>
          <cell r="D1238" t="str">
            <v>Steel Fixer</v>
          </cell>
        </row>
        <row r="1239">
          <cell r="A1239" t="str">
            <v>2541404584</v>
          </cell>
          <cell r="B1239" t="str">
            <v>Jit Bahadur</v>
          </cell>
          <cell r="C1239" t="str">
            <v>TAMIMI</v>
          </cell>
          <cell r="D1239" t="str">
            <v>Carpenter</v>
          </cell>
        </row>
        <row r="1240">
          <cell r="A1240" t="str">
            <v>2338544328</v>
          </cell>
          <cell r="B1240" t="str">
            <v>Jitendra</v>
          </cell>
          <cell r="C1240" t="str">
            <v>TAMIMI</v>
          </cell>
          <cell r="D1240" t="str">
            <v>Helper</v>
          </cell>
        </row>
        <row r="1241">
          <cell r="A1241" t="str">
            <v>2616341893</v>
          </cell>
          <cell r="B1241" t="str">
            <v>Jobaur Hossan</v>
          </cell>
          <cell r="C1241" t="str">
            <v>GLOBAL CASTLES</v>
          </cell>
          <cell r="D1241" t="str">
            <v>Steel Fixer</v>
          </cell>
        </row>
        <row r="1242">
          <cell r="A1242" t="str">
            <v>2588327722</v>
          </cell>
          <cell r="B1242" t="str">
            <v>Joel Salagubang</v>
          </cell>
          <cell r="C1242" t="str">
            <v>TAMIMI</v>
          </cell>
          <cell r="D1242" t="str">
            <v>Carpenter</v>
          </cell>
        </row>
        <row r="1243">
          <cell r="A1243" t="str">
            <v>2620349734</v>
          </cell>
          <cell r="B1243" t="str">
            <v>Johk Miah</v>
          </cell>
          <cell r="C1243" t="str">
            <v>BUILDING ROOTS</v>
          </cell>
          <cell r="D1243" t="str">
            <v>Carpenter</v>
          </cell>
        </row>
        <row r="1244">
          <cell r="A1244" t="str">
            <v>2550818617</v>
          </cell>
          <cell r="B1244" t="str">
            <v>John Moore</v>
          </cell>
          <cell r="C1244" t="str">
            <v>QIDDIYA</v>
          </cell>
          <cell r="D1244" t="str">
            <v>Delivery Director</v>
          </cell>
        </row>
        <row r="1245">
          <cell r="A1245" t="str">
            <v>2576351478</v>
          </cell>
          <cell r="B1245" t="str">
            <v>Johnson mathai</v>
          </cell>
          <cell r="C1245" t="str">
            <v>MARFA AL SHAMAL</v>
          </cell>
          <cell r="D1245" t="str">
            <v>Technician</v>
          </cell>
        </row>
        <row r="1246">
          <cell r="A1246" t="str">
            <v>2595098936</v>
          </cell>
          <cell r="B1246" t="str">
            <v>Johurul</v>
          </cell>
          <cell r="C1246" t="str">
            <v>ELITE HEART</v>
          </cell>
          <cell r="D1246" t="str">
            <v>Steel Fixer</v>
          </cell>
        </row>
        <row r="1247">
          <cell r="A1247" t="str">
            <v>2571399381</v>
          </cell>
          <cell r="B1247" t="str">
            <v>Jomal George</v>
          </cell>
          <cell r="C1247" t="str">
            <v>AJI RENTALS</v>
          </cell>
          <cell r="D1247" t="str">
            <v>Technician</v>
          </cell>
        </row>
        <row r="1248">
          <cell r="A1248" t="str">
            <v>2586065449</v>
          </cell>
          <cell r="B1248" t="str">
            <v>Jony Das</v>
          </cell>
          <cell r="C1248" t="str">
            <v>BUILDING ROOTS</v>
          </cell>
          <cell r="D1248" t="str">
            <v>Steel Fixer</v>
          </cell>
        </row>
        <row r="1249">
          <cell r="A1249" t="str">
            <v>2568071845</v>
          </cell>
          <cell r="B1249" t="str">
            <v>Jose Cardos</v>
          </cell>
          <cell r="C1249" t="str">
            <v>JV (BBI-AGC)</v>
          </cell>
          <cell r="D1249" t="str">
            <v>Site Supervisor</v>
          </cell>
        </row>
        <row r="1250">
          <cell r="A1250" t="str">
            <v>2362888626</v>
          </cell>
          <cell r="B1250" t="str">
            <v>Joseph vidallon</v>
          </cell>
          <cell r="C1250" t="str">
            <v>JV (BBI-AGC)</v>
          </cell>
          <cell r="D1250" t="str">
            <v>Design coordinator</v>
          </cell>
        </row>
        <row r="1251">
          <cell r="A1251" t="str">
            <v>2550252783</v>
          </cell>
          <cell r="B1251" t="str">
            <v>Josim</v>
          </cell>
          <cell r="C1251" t="str">
            <v>GLOBAL CASTLES</v>
          </cell>
          <cell r="D1251" t="str">
            <v>Labour</v>
          </cell>
        </row>
        <row r="1252">
          <cell r="A1252" t="str">
            <v>2497006086</v>
          </cell>
          <cell r="B1252" t="str">
            <v>Juel Miah</v>
          </cell>
          <cell r="C1252" t="str">
            <v>BUILDING ROOTS</v>
          </cell>
          <cell r="D1252" t="str">
            <v>Scaffolder</v>
          </cell>
        </row>
        <row r="1253">
          <cell r="A1253" t="str">
            <v>2476651977</v>
          </cell>
          <cell r="B1253" t="str">
            <v>Jugal Barhi</v>
          </cell>
          <cell r="C1253" t="str">
            <v>TAMIMI</v>
          </cell>
          <cell r="D1253" t="str">
            <v>Carpenter</v>
          </cell>
        </row>
        <row r="1254">
          <cell r="A1254" t="str">
            <v>2623369127</v>
          </cell>
          <cell r="B1254" t="str">
            <v>Jumjaid</v>
          </cell>
          <cell r="C1254" t="str">
            <v>BUILDING ROOTS</v>
          </cell>
          <cell r="D1254" t="str">
            <v>Carpenter</v>
          </cell>
        </row>
        <row r="1255">
          <cell r="A1255" t="str">
            <v>2587817233</v>
          </cell>
          <cell r="B1255" t="str">
            <v>Junaid</v>
          </cell>
          <cell r="C1255" t="str">
            <v>BUILDING ROOTS</v>
          </cell>
          <cell r="D1255" t="str">
            <v>Scaffolder</v>
          </cell>
        </row>
        <row r="1256">
          <cell r="A1256" t="str">
            <v>2595387644</v>
          </cell>
          <cell r="B1256" t="str">
            <v>Junaid</v>
          </cell>
          <cell r="C1256" t="str">
            <v>BUILDING ROOTS</v>
          </cell>
          <cell r="D1256" t="str">
            <v>Scaffolder</v>
          </cell>
        </row>
        <row r="1257">
          <cell r="A1257" t="str">
            <v>2592933570</v>
          </cell>
          <cell r="B1257" t="str">
            <v>Junaid Ahmad</v>
          </cell>
          <cell r="C1257" t="str">
            <v>BUILDING ROOTS</v>
          </cell>
          <cell r="D1257" t="str">
            <v>Bobcat Operator</v>
          </cell>
        </row>
        <row r="1258">
          <cell r="A1258" t="str">
            <v>2520730678</v>
          </cell>
          <cell r="B1258" t="str">
            <v>Junaid Khan</v>
          </cell>
          <cell r="C1258" t="str">
            <v>SAUDI BAUER</v>
          </cell>
          <cell r="D1258" t="str">
            <v>Steel Fixer</v>
          </cell>
        </row>
        <row r="1259">
          <cell r="A1259" t="str">
            <v>2511127090</v>
          </cell>
          <cell r="B1259" t="str">
            <v>Junaid Khan</v>
          </cell>
          <cell r="C1259" t="str">
            <v>BUILDING ROOTS</v>
          </cell>
          <cell r="D1259" t="str">
            <v>Carpenter</v>
          </cell>
        </row>
        <row r="1260">
          <cell r="A1260" t="str">
            <v>2495821494</v>
          </cell>
          <cell r="B1260" t="str">
            <v>Kaber Khan</v>
          </cell>
          <cell r="C1260" t="str">
            <v>SAUDI BAUER</v>
          </cell>
          <cell r="D1260" t="str">
            <v>Steel Fixer</v>
          </cell>
        </row>
        <row r="1261">
          <cell r="A1261" t="str">
            <v>2577560341</v>
          </cell>
          <cell r="B1261" t="str">
            <v>Kabir</v>
          </cell>
          <cell r="C1261" t="str">
            <v>SAUDI BAUER</v>
          </cell>
          <cell r="D1261" t="str">
            <v>Helper</v>
          </cell>
        </row>
        <row r="1262">
          <cell r="A1262" t="str">
            <v>2581876535</v>
          </cell>
          <cell r="B1262" t="str">
            <v>Kafeel</v>
          </cell>
          <cell r="C1262" t="str">
            <v>BUILDING ROOTS</v>
          </cell>
          <cell r="D1262" t="str">
            <v>Steel Fixer</v>
          </cell>
        </row>
        <row r="1263">
          <cell r="A1263" t="str">
            <v>2581816535</v>
          </cell>
          <cell r="B1263" t="str">
            <v>Kafeel</v>
          </cell>
          <cell r="C1263" t="str">
            <v>BUILDING ROOTS</v>
          </cell>
          <cell r="D1263" t="str">
            <v>Steel Fixer</v>
          </cell>
        </row>
        <row r="1264">
          <cell r="A1264" t="str">
            <v>2566387482</v>
          </cell>
          <cell r="B1264" t="str">
            <v>Kafyat Raheem</v>
          </cell>
          <cell r="C1264" t="str">
            <v>TAMIMI</v>
          </cell>
          <cell r="D1264" t="str">
            <v>Electrician</v>
          </cell>
        </row>
        <row r="1265">
          <cell r="A1265" t="str">
            <v>2624706814</v>
          </cell>
          <cell r="B1265" t="str">
            <v>Kajol</v>
          </cell>
          <cell r="C1265" t="str">
            <v>BUILDING ROOTS</v>
          </cell>
          <cell r="D1265" t="str">
            <v>Carpenter</v>
          </cell>
        </row>
        <row r="1266">
          <cell r="A1266" t="str">
            <v>2315161830</v>
          </cell>
          <cell r="B1266" t="str">
            <v>Kalamudeen</v>
          </cell>
          <cell r="C1266" t="str">
            <v>SAUDI BAUER</v>
          </cell>
          <cell r="D1266" t="str">
            <v>Bg Operator</v>
          </cell>
        </row>
        <row r="1267">
          <cell r="A1267" t="str">
            <v>2269174849</v>
          </cell>
          <cell r="B1267" t="str">
            <v>Kaleem</v>
          </cell>
          <cell r="C1267" t="str">
            <v>ALMABANI CONT.</v>
          </cell>
          <cell r="D1267" t="str">
            <v>Electrician</v>
          </cell>
        </row>
        <row r="1268">
          <cell r="A1268" t="str">
            <v>2574263055</v>
          </cell>
          <cell r="B1268" t="str">
            <v>Kaleem</v>
          </cell>
          <cell r="C1268" t="str">
            <v>BUILDING ROOTS</v>
          </cell>
          <cell r="D1268" t="str">
            <v>Surveyor Engineer</v>
          </cell>
        </row>
        <row r="1269">
          <cell r="A1269" t="str">
            <v>2504622974</v>
          </cell>
          <cell r="B1269" t="str">
            <v>Kalon Miah</v>
          </cell>
          <cell r="C1269" t="str">
            <v>JV (BBI-AGC)</v>
          </cell>
          <cell r="D1269" t="str">
            <v>Flag Man</v>
          </cell>
        </row>
        <row r="1270">
          <cell r="A1270" t="str">
            <v>2519125823</v>
          </cell>
          <cell r="B1270" t="str">
            <v>Kamel Jan</v>
          </cell>
          <cell r="C1270" t="str">
            <v>ELITE HEART</v>
          </cell>
          <cell r="D1270" t="str">
            <v>Steel Fixer</v>
          </cell>
        </row>
        <row r="1271">
          <cell r="A1271" t="str">
            <v>2553678018</v>
          </cell>
          <cell r="B1271" t="str">
            <v>Kamel mohamed ali</v>
          </cell>
          <cell r="C1271" t="str">
            <v>GULF MARK</v>
          </cell>
          <cell r="D1271" t="str">
            <v>Bobcat driver</v>
          </cell>
        </row>
        <row r="1272">
          <cell r="A1272" t="str">
            <v>2593890490</v>
          </cell>
          <cell r="B1272" t="str">
            <v>Kamran</v>
          </cell>
          <cell r="C1272" t="str">
            <v>ELITE HEART</v>
          </cell>
          <cell r="D1272" t="str">
            <v>Carpenter</v>
          </cell>
        </row>
        <row r="1273">
          <cell r="A1273" t="str">
            <v>2559749847</v>
          </cell>
          <cell r="B1273" t="str">
            <v>Kamran</v>
          </cell>
          <cell r="C1273" t="str">
            <v>ELITE HEART</v>
          </cell>
          <cell r="D1273" t="str">
            <v>Steel Fixer</v>
          </cell>
        </row>
        <row r="1274">
          <cell r="A1274" t="str">
            <v>2551156561</v>
          </cell>
          <cell r="B1274" t="str">
            <v>Kamran</v>
          </cell>
          <cell r="C1274" t="str">
            <v>GLOBAL CASTLES</v>
          </cell>
          <cell r="D1274" t="str">
            <v>Rigger</v>
          </cell>
        </row>
        <row r="1275">
          <cell r="A1275" t="str">
            <v>2576790063</v>
          </cell>
          <cell r="B1275" t="str">
            <v>Kamran</v>
          </cell>
          <cell r="C1275" t="str">
            <v>ALMABANI CONT.</v>
          </cell>
          <cell r="D1275" t="str">
            <v>surveyor</v>
          </cell>
        </row>
        <row r="1276">
          <cell r="A1276" t="str">
            <v>2288644426</v>
          </cell>
          <cell r="B1276" t="str">
            <v>Kamran Ahmed</v>
          </cell>
          <cell r="C1276" t="str">
            <v>ELITE HEART</v>
          </cell>
          <cell r="D1276" t="str">
            <v>Steel Fixer</v>
          </cell>
        </row>
        <row r="1277">
          <cell r="A1277" t="str">
            <v>2632377756</v>
          </cell>
          <cell r="B1277" t="str">
            <v>Kamran Ali</v>
          </cell>
          <cell r="C1277" t="str">
            <v>BUILDING ROOTS</v>
          </cell>
          <cell r="D1277" t="str">
            <v>Carpenter</v>
          </cell>
        </row>
        <row r="1278">
          <cell r="A1278" t="str">
            <v>2539447744</v>
          </cell>
          <cell r="B1278" t="str">
            <v>Kamran Anwar</v>
          </cell>
          <cell r="C1278" t="str">
            <v>BUILDING ROOTS</v>
          </cell>
          <cell r="D1278" t="str">
            <v>Hse Officer</v>
          </cell>
        </row>
        <row r="1279">
          <cell r="A1279" t="str">
            <v>2602279321</v>
          </cell>
          <cell r="B1279" t="str">
            <v>Kamran Khan</v>
          </cell>
          <cell r="C1279" t="str">
            <v>ELITE HEART</v>
          </cell>
          <cell r="D1279" t="str">
            <v>Hse</v>
          </cell>
        </row>
        <row r="1280">
          <cell r="A1280" t="str">
            <v>2588804472</v>
          </cell>
          <cell r="B1280" t="str">
            <v>Kamran Khan</v>
          </cell>
          <cell r="C1280" t="str">
            <v>ELITE HEART</v>
          </cell>
          <cell r="D1280" t="str">
            <v>Labour</v>
          </cell>
        </row>
        <row r="1281">
          <cell r="A1281" t="str">
            <v>2602938165</v>
          </cell>
          <cell r="B1281" t="str">
            <v>Kamran Khan</v>
          </cell>
          <cell r="C1281" t="str">
            <v>AALICO</v>
          </cell>
          <cell r="D1281" t="str">
            <v>Labour</v>
          </cell>
        </row>
        <row r="1282">
          <cell r="A1282" t="str">
            <v>2600655803</v>
          </cell>
          <cell r="B1282" t="str">
            <v>Kamran Ullah</v>
          </cell>
          <cell r="C1282" t="str">
            <v>BUILDING ROOTS</v>
          </cell>
          <cell r="D1282" t="str">
            <v>Labour</v>
          </cell>
        </row>
        <row r="1283">
          <cell r="A1283" t="str">
            <v>2542629122</v>
          </cell>
          <cell r="B1283" t="str">
            <v>Kamran khan</v>
          </cell>
          <cell r="C1283" t="str">
            <v>Cretec</v>
          </cell>
          <cell r="D1283" t="str">
            <v>labor</v>
          </cell>
        </row>
        <row r="1284">
          <cell r="A1284" t="str">
            <v>2486627975</v>
          </cell>
          <cell r="B1284" t="str">
            <v>Kamrul</v>
          </cell>
          <cell r="C1284" t="str">
            <v>GLOBAL CASTLE</v>
          </cell>
          <cell r="D1284" t="str">
            <v>Scaffolder</v>
          </cell>
        </row>
        <row r="1285">
          <cell r="A1285" t="str">
            <v>2493348300</v>
          </cell>
          <cell r="B1285" t="str">
            <v>Kamrul Islam</v>
          </cell>
          <cell r="C1285" t="str">
            <v>BUILDING ROOTS</v>
          </cell>
          <cell r="D1285" t="str">
            <v>Scaffolder</v>
          </cell>
        </row>
        <row r="1286">
          <cell r="A1286" t="str">
            <v>2518906151</v>
          </cell>
          <cell r="B1286" t="str">
            <v>Kamrul Islam</v>
          </cell>
          <cell r="C1286" t="str">
            <v>GLOBAL CASTLES</v>
          </cell>
          <cell r="D1286" t="str">
            <v>Labour</v>
          </cell>
        </row>
        <row r="1287">
          <cell r="A1287" t="str">
            <v>2602976108</v>
          </cell>
          <cell r="B1287" t="str">
            <v>Karam</v>
          </cell>
          <cell r="C1287" t="str">
            <v>BUILDING ROOTS</v>
          </cell>
          <cell r="D1287" t="str">
            <v>Carpenter</v>
          </cell>
        </row>
        <row r="1288">
          <cell r="A1288" t="str">
            <v>2377576992</v>
          </cell>
          <cell r="B1288" t="str">
            <v>Karam Ali Shah</v>
          </cell>
          <cell r="C1288" t="str">
            <v>ULMA</v>
          </cell>
          <cell r="D1288" t="str">
            <v>Scaffolding &amp; Formwork Inspector</v>
          </cell>
        </row>
        <row r="1289">
          <cell r="A1289" t="str">
            <v>2625851791</v>
          </cell>
          <cell r="B1289" t="str">
            <v>Karman shah</v>
          </cell>
          <cell r="C1289" t="str">
            <v>BUILDING ROOTS</v>
          </cell>
          <cell r="D1289" t="str">
            <v>labor</v>
          </cell>
        </row>
        <row r="1290">
          <cell r="A1290" t="str">
            <v>2612102919</v>
          </cell>
          <cell r="B1290" t="str">
            <v>Kashif</v>
          </cell>
          <cell r="C1290" t="str">
            <v>BUILDING ROOTS</v>
          </cell>
          <cell r="D1290" t="str">
            <v>Steel Fixer</v>
          </cell>
        </row>
        <row r="1291">
          <cell r="A1291" t="str">
            <v>2536022771</v>
          </cell>
          <cell r="B1291" t="str">
            <v>Kashif</v>
          </cell>
          <cell r="C1291" t="str">
            <v>SAUDI BAUER</v>
          </cell>
          <cell r="D1291" t="str">
            <v>Crane Operator</v>
          </cell>
        </row>
        <row r="1292">
          <cell r="A1292" t="str">
            <v>2553941903</v>
          </cell>
          <cell r="B1292" t="str">
            <v>Kashif</v>
          </cell>
          <cell r="C1292" t="str">
            <v>SAUDI ENVIROZONE</v>
          </cell>
          <cell r="D1292" t="str">
            <v>Quality Engineer</v>
          </cell>
        </row>
        <row r="1293">
          <cell r="A1293" t="str">
            <v>2535151894</v>
          </cell>
          <cell r="B1293" t="str">
            <v>Kashif Khan</v>
          </cell>
          <cell r="C1293" t="str">
            <v>BUILDING ROOTS</v>
          </cell>
          <cell r="D1293" t="str">
            <v>Labour</v>
          </cell>
        </row>
        <row r="1294">
          <cell r="A1294" t="str">
            <v>2608536377</v>
          </cell>
          <cell r="B1294" t="str">
            <v>Kashif Khan</v>
          </cell>
          <cell r="C1294" t="str">
            <v>BUILDING ROOTS</v>
          </cell>
          <cell r="D1294" t="str">
            <v>Hse Helper</v>
          </cell>
        </row>
        <row r="1295">
          <cell r="A1295" t="str">
            <v>2621074612</v>
          </cell>
          <cell r="B1295" t="str">
            <v>Kashif Naeem</v>
          </cell>
          <cell r="C1295" t="str">
            <v>BUILDING ROOTS</v>
          </cell>
          <cell r="D1295" t="str">
            <v>Scaffolding Inspector</v>
          </cell>
        </row>
        <row r="1296">
          <cell r="A1296" t="str">
            <v>2529200921</v>
          </cell>
          <cell r="B1296" t="str">
            <v>Kashif Saeed</v>
          </cell>
          <cell r="C1296" t="str">
            <v>ELITE HEART</v>
          </cell>
          <cell r="D1296" t="str">
            <v>Labour</v>
          </cell>
        </row>
        <row r="1297">
          <cell r="A1297" t="str">
            <v>2560815983</v>
          </cell>
          <cell r="B1297" t="str">
            <v>Kashif Sattar</v>
          </cell>
          <cell r="C1297" t="str">
            <v>AALICO</v>
          </cell>
          <cell r="D1297" t="str">
            <v>Site Engineer</v>
          </cell>
        </row>
        <row r="1298">
          <cell r="A1298" t="str">
            <v>2633123514</v>
          </cell>
          <cell r="B1298" t="str">
            <v>Kashif hayat</v>
          </cell>
          <cell r="C1298" t="str">
            <v>BUILDING ROOTS</v>
          </cell>
          <cell r="D1298" t="str">
            <v>Steel Fixer</v>
          </cell>
        </row>
        <row r="1299">
          <cell r="A1299" t="str">
            <v>2476018060</v>
          </cell>
          <cell r="B1299" t="str">
            <v>Kasif</v>
          </cell>
          <cell r="C1299" t="str">
            <v>ALMABANI CONT.</v>
          </cell>
          <cell r="D1299" t="str">
            <v>Electrician</v>
          </cell>
        </row>
        <row r="1300">
          <cell r="A1300" t="str">
            <v>2550166231</v>
          </cell>
          <cell r="B1300" t="str">
            <v>Kawsur mia</v>
          </cell>
          <cell r="C1300" t="str">
            <v>GLOBAL CASTLE</v>
          </cell>
          <cell r="D1300" t="str">
            <v>Carpenter</v>
          </cell>
        </row>
        <row r="1301">
          <cell r="A1301" t="str">
            <v>2609530817</v>
          </cell>
          <cell r="B1301" t="str">
            <v>Kayez Shikder</v>
          </cell>
          <cell r="C1301" t="str">
            <v>GLOBAL CASTLES</v>
          </cell>
          <cell r="D1301" t="str">
            <v>Steel Fixer</v>
          </cell>
        </row>
        <row r="1302">
          <cell r="A1302" t="str">
            <v>2545974228</v>
          </cell>
          <cell r="B1302" t="str">
            <v>Kazi Md Abu Yusuf</v>
          </cell>
          <cell r="C1302" t="str">
            <v>GLOBAL CASTLES</v>
          </cell>
          <cell r="D1302" t="str">
            <v>Steel Fixer</v>
          </cell>
        </row>
        <row r="1303">
          <cell r="A1303" t="str">
            <v>2571345806</v>
          </cell>
          <cell r="B1303" t="str">
            <v>Khadim Ullah</v>
          </cell>
          <cell r="C1303" t="str">
            <v>BUILDING ROOTS</v>
          </cell>
          <cell r="D1303" t="str">
            <v>Steel Fixer</v>
          </cell>
        </row>
        <row r="1304">
          <cell r="A1304" t="str">
            <v>2556218424</v>
          </cell>
          <cell r="B1304" t="str">
            <v>Khair Ullah</v>
          </cell>
          <cell r="C1304" t="str">
            <v>BUILDING ROOTS</v>
          </cell>
          <cell r="D1304" t="str">
            <v>Labour</v>
          </cell>
        </row>
        <row r="1305">
          <cell r="A1305" t="str">
            <v>2598404495</v>
          </cell>
          <cell r="B1305" t="str">
            <v>Khair Ullah</v>
          </cell>
          <cell r="C1305" t="str">
            <v>BUILDING ROOTS</v>
          </cell>
          <cell r="D1305" t="str">
            <v>Carpenter</v>
          </cell>
        </row>
        <row r="1306">
          <cell r="A1306" t="str">
            <v>25737733967</v>
          </cell>
          <cell r="B1306" t="str">
            <v>Khair mahamud</v>
          </cell>
          <cell r="C1306" t="str">
            <v>GLOBAL CASTLE</v>
          </cell>
          <cell r="D1306" t="str">
            <v>Carpenter</v>
          </cell>
        </row>
        <row r="1307">
          <cell r="A1307" t="str">
            <v>2525730947</v>
          </cell>
          <cell r="B1307" t="str">
            <v>Khairi</v>
          </cell>
          <cell r="C1307" t="str">
            <v>NOUR AL HADAF</v>
          </cell>
          <cell r="D1307" t="str">
            <v>Tile Fixer</v>
          </cell>
        </row>
        <row r="1308">
          <cell r="A1308" t="str">
            <v>254521086</v>
          </cell>
          <cell r="B1308" t="str">
            <v>Khaista</v>
          </cell>
          <cell r="C1308" t="str">
            <v>BUILDING ROOTS</v>
          </cell>
          <cell r="D1308" t="str">
            <v>Steel Fixer</v>
          </cell>
        </row>
        <row r="1309">
          <cell r="A1309" t="str">
            <v>2596371761</v>
          </cell>
          <cell r="B1309" t="str">
            <v>Khaista Rahman</v>
          </cell>
          <cell r="C1309" t="str">
            <v>ELITE HEART</v>
          </cell>
          <cell r="D1309" t="str">
            <v>Labour</v>
          </cell>
        </row>
        <row r="1310">
          <cell r="A1310" t="str">
            <v>2360748640</v>
          </cell>
          <cell r="B1310" t="str">
            <v>Khalaf Alla Sadek</v>
          </cell>
          <cell r="C1310" t="str">
            <v>BUILDING ROOTS</v>
          </cell>
          <cell r="D1310" t="str">
            <v>Foreman</v>
          </cell>
        </row>
        <row r="1311">
          <cell r="A1311" t="str">
            <v>2624071060</v>
          </cell>
          <cell r="B1311" t="str">
            <v>Khaled</v>
          </cell>
          <cell r="C1311" t="str">
            <v>BUILDING ROOTS</v>
          </cell>
          <cell r="D1311" t="str">
            <v>Carpenter</v>
          </cell>
        </row>
        <row r="1312">
          <cell r="A1312" t="str">
            <v>2321441251</v>
          </cell>
          <cell r="B1312" t="str">
            <v>Khaled Ahmed</v>
          </cell>
          <cell r="C1312" t="str">
            <v>BUILDING ROOTS</v>
          </cell>
          <cell r="D1312" t="str">
            <v>Carpenter</v>
          </cell>
        </row>
        <row r="1313">
          <cell r="A1313" t="str">
            <v>1107812321</v>
          </cell>
          <cell r="B1313" t="str">
            <v>Khaled Al Ghamdi</v>
          </cell>
          <cell r="C1313" t="str">
            <v>SAUDI BAUER</v>
          </cell>
          <cell r="D1313" t="str">
            <v>Hse</v>
          </cell>
        </row>
        <row r="1314">
          <cell r="A1314" t="str">
            <v>2345341446</v>
          </cell>
          <cell r="B1314" t="str">
            <v>Khaled Mohammed</v>
          </cell>
          <cell r="C1314" t="str">
            <v>ELITE HEART</v>
          </cell>
          <cell r="D1314" t="str">
            <v>Rigger</v>
          </cell>
        </row>
        <row r="1315">
          <cell r="A1315" t="str">
            <v>2598847909</v>
          </cell>
          <cell r="B1315" t="str">
            <v>Khalid</v>
          </cell>
          <cell r="C1315" t="str">
            <v>BUILDING ROOTS</v>
          </cell>
          <cell r="D1315" t="str">
            <v>Steel Fixer</v>
          </cell>
        </row>
        <row r="1316">
          <cell r="A1316" t="str">
            <v>2520717790</v>
          </cell>
          <cell r="B1316" t="str">
            <v>Khalid</v>
          </cell>
          <cell r="C1316" t="str">
            <v>GLOBAL CASTLES</v>
          </cell>
          <cell r="D1316" t="str">
            <v>Rigger</v>
          </cell>
        </row>
        <row r="1317">
          <cell r="A1317" t="str">
            <v>1116299221</v>
          </cell>
          <cell r="B1317" t="str">
            <v>Khalid Ahmed</v>
          </cell>
          <cell r="C1317" t="str">
            <v>AL JOHARAH</v>
          </cell>
          <cell r="D1317" t="str">
            <v>Security Officer</v>
          </cell>
        </row>
        <row r="1318">
          <cell r="A1318" t="str">
            <v>2563641147</v>
          </cell>
          <cell r="B1318" t="str">
            <v>Khalid Ali</v>
          </cell>
          <cell r="C1318" t="str">
            <v>BUILDING ROOTS</v>
          </cell>
          <cell r="D1318" t="str">
            <v>Carpenter</v>
          </cell>
        </row>
        <row r="1319">
          <cell r="A1319" t="str">
            <v>2574269052</v>
          </cell>
          <cell r="B1319" t="str">
            <v>Khalid Khan</v>
          </cell>
          <cell r="C1319" t="str">
            <v>BUILDING ROOTS</v>
          </cell>
          <cell r="D1319" t="str">
            <v>Steel Fixer</v>
          </cell>
        </row>
        <row r="1320">
          <cell r="A1320" t="str">
            <v>2617905878</v>
          </cell>
          <cell r="B1320" t="str">
            <v>Khalid Wazir</v>
          </cell>
          <cell r="C1320" t="str">
            <v>ELITE HEART</v>
          </cell>
          <cell r="D1320" t="str">
            <v>Steel Fixer</v>
          </cell>
        </row>
        <row r="1321">
          <cell r="A1321" t="str">
            <v>2512699823</v>
          </cell>
          <cell r="B1321" t="str">
            <v>Khalid khan</v>
          </cell>
          <cell r="C1321" t="str">
            <v>AALICO</v>
          </cell>
          <cell r="D1321" t="str">
            <v>labor</v>
          </cell>
        </row>
        <row r="1322">
          <cell r="A1322" t="str">
            <v>2523196358</v>
          </cell>
          <cell r="B1322" t="str">
            <v>Khalil Hamid</v>
          </cell>
          <cell r="C1322" t="str">
            <v>BUILDING ROOTS</v>
          </cell>
          <cell r="D1322" t="str">
            <v>Scaffolder</v>
          </cell>
        </row>
        <row r="1323">
          <cell r="A1323" t="str">
            <v>2449954623</v>
          </cell>
          <cell r="B1323" t="str">
            <v>Khalil Mahyoub</v>
          </cell>
          <cell r="C1323" t="str">
            <v>BUILDING ROOTS</v>
          </cell>
          <cell r="D1323" t="str">
            <v>Carpenter</v>
          </cell>
        </row>
        <row r="1324">
          <cell r="A1324" t="str">
            <v>2593787563</v>
          </cell>
          <cell r="B1324" t="str">
            <v>Khalil Ur Rehman</v>
          </cell>
          <cell r="C1324" t="str">
            <v>ELITE HEART</v>
          </cell>
          <cell r="D1324" t="str">
            <v>Mason</v>
          </cell>
        </row>
        <row r="1325">
          <cell r="A1325" t="str">
            <v>2626137851</v>
          </cell>
          <cell r="B1325" t="str">
            <v>Khaliq</v>
          </cell>
          <cell r="C1325" t="str">
            <v>ELITE HEART</v>
          </cell>
          <cell r="D1325" t="str">
            <v>Scaffolder</v>
          </cell>
        </row>
        <row r="1326">
          <cell r="A1326" t="str">
            <v>2617012451</v>
          </cell>
          <cell r="B1326" t="str">
            <v>Khaliq</v>
          </cell>
          <cell r="C1326" t="str">
            <v>BUILDING ROOTS</v>
          </cell>
          <cell r="D1326" t="str">
            <v>Driver</v>
          </cell>
        </row>
        <row r="1327">
          <cell r="A1327" t="str">
            <v>2136147218</v>
          </cell>
          <cell r="B1327" t="str">
            <v>Khaliur Rehman</v>
          </cell>
          <cell r="C1327" t="str">
            <v>ELITE HEART</v>
          </cell>
          <cell r="D1327" t="str">
            <v>Carpenter</v>
          </cell>
        </row>
        <row r="1328">
          <cell r="A1328" t="str">
            <v>2522353974</v>
          </cell>
          <cell r="B1328" t="str">
            <v>Khan Zaib</v>
          </cell>
          <cell r="C1328" t="str">
            <v>BUILDING ROOTS</v>
          </cell>
          <cell r="D1328" t="str">
            <v>Qc Engr</v>
          </cell>
        </row>
        <row r="1329">
          <cell r="A1329" t="str">
            <v>2620358552</v>
          </cell>
          <cell r="B1329" t="str">
            <v>Khan zaib</v>
          </cell>
          <cell r="C1329" t="str">
            <v>UNITED GULF</v>
          </cell>
          <cell r="D1329" t="str">
            <v>helper</v>
          </cell>
        </row>
        <row r="1330">
          <cell r="A1330" t="str">
            <v>2520189206</v>
          </cell>
          <cell r="B1330" t="str">
            <v>Khanaullah Khan</v>
          </cell>
          <cell r="C1330" t="str">
            <v>ELITE HEART</v>
          </cell>
          <cell r="D1330" t="str">
            <v>Driver</v>
          </cell>
        </row>
        <row r="1331">
          <cell r="A1331" t="str">
            <v>2276199169</v>
          </cell>
          <cell r="B1331" t="str">
            <v>Khayal</v>
          </cell>
          <cell r="C1331" t="str">
            <v>BUILDING ROOTS</v>
          </cell>
          <cell r="D1331" t="str">
            <v>Foreman</v>
          </cell>
        </row>
        <row r="1332">
          <cell r="A1332" t="str">
            <v>2615663669</v>
          </cell>
          <cell r="B1332" t="str">
            <v>Khayal Mohammed</v>
          </cell>
          <cell r="C1332" t="str">
            <v>BUILDING ROOTS</v>
          </cell>
          <cell r="D1332" t="str">
            <v>Carpenter</v>
          </cell>
        </row>
        <row r="1333">
          <cell r="A1333" t="str">
            <v>2557753288</v>
          </cell>
          <cell r="B1333" t="str">
            <v>Khurshed</v>
          </cell>
          <cell r="C1333" t="str">
            <v>BUILDING ROOTS</v>
          </cell>
          <cell r="D1333" t="str">
            <v>Steel Fixer</v>
          </cell>
        </row>
        <row r="1334">
          <cell r="A1334" t="str">
            <v>2584033977</v>
          </cell>
          <cell r="B1334" t="str">
            <v>Khurshed Khan</v>
          </cell>
          <cell r="C1334" t="str">
            <v>BUILDING ROOTS</v>
          </cell>
          <cell r="D1334" t="str">
            <v>Steel Fixer</v>
          </cell>
        </row>
        <row r="1335">
          <cell r="A1335" t="str">
            <v>2600563643</v>
          </cell>
          <cell r="B1335" t="str">
            <v>Khursheed Khan</v>
          </cell>
          <cell r="C1335" t="str">
            <v>ELITE HEART</v>
          </cell>
          <cell r="D1335" t="str">
            <v>Excavator Operator</v>
          </cell>
        </row>
        <row r="1336">
          <cell r="A1336" t="str">
            <v>2581775703</v>
          </cell>
          <cell r="B1336" t="str">
            <v>Khurshid</v>
          </cell>
          <cell r="C1336" t="str">
            <v>BUILDING ROOTS</v>
          </cell>
          <cell r="D1336" t="str">
            <v>Labour</v>
          </cell>
        </row>
        <row r="1337">
          <cell r="A1337" t="str">
            <v>2557802078</v>
          </cell>
          <cell r="B1337" t="str">
            <v>Khurshid Ali</v>
          </cell>
          <cell r="C1337" t="str">
            <v>BUILDING ROOTS</v>
          </cell>
          <cell r="D1337" t="str">
            <v>Steel Fixer</v>
          </cell>
        </row>
        <row r="1338">
          <cell r="A1338" t="str">
            <v>2622744742</v>
          </cell>
          <cell r="B1338" t="str">
            <v>Khurshid Khan</v>
          </cell>
          <cell r="C1338" t="str">
            <v>SAUDI BAUER</v>
          </cell>
          <cell r="D1338" t="str">
            <v>Steel Fixer</v>
          </cell>
        </row>
        <row r="1339">
          <cell r="A1339" t="str">
            <v>2587150943</v>
          </cell>
          <cell r="B1339" t="str">
            <v>Kifayat Rehman</v>
          </cell>
          <cell r="C1339" t="str">
            <v>ELITE HEART</v>
          </cell>
          <cell r="D1339" t="str">
            <v>Surveyor</v>
          </cell>
        </row>
        <row r="1340">
          <cell r="A1340" t="str">
            <v>2556024491</v>
          </cell>
          <cell r="B1340" t="str">
            <v>Kifayat Ullah</v>
          </cell>
          <cell r="C1340" t="str">
            <v>SAUDI BAUER</v>
          </cell>
          <cell r="D1340" t="str">
            <v>Flag Man</v>
          </cell>
        </row>
        <row r="1341">
          <cell r="A1341" t="str">
            <v>2521236378</v>
          </cell>
          <cell r="B1341" t="str">
            <v>Kifayat Ullah</v>
          </cell>
          <cell r="C1341" t="str">
            <v>ELITE HEART</v>
          </cell>
          <cell r="D1341" t="str">
            <v>Scaffolder</v>
          </cell>
        </row>
        <row r="1342">
          <cell r="A1342" t="str">
            <v>2577453992</v>
          </cell>
          <cell r="B1342" t="str">
            <v>Kiramat Shah</v>
          </cell>
          <cell r="C1342" t="str">
            <v>BUILDING ROOTS</v>
          </cell>
          <cell r="D1342" t="str">
            <v>-</v>
          </cell>
        </row>
        <row r="1343">
          <cell r="A1343" t="str">
            <v>2606666242</v>
          </cell>
          <cell r="B1343" t="str">
            <v>Kkhaber hossen</v>
          </cell>
          <cell r="C1343" t="str">
            <v>GLOBAL CASTLE</v>
          </cell>
          <cell r="D1343" t="str">
            <v>mech supervisor</v>
          </cell>
        </row>
        <row r="1344">
          <cell r="A1344" t="str">
            <v>2539731139</v>
          </cell>
          <cell r="B1344" t="str">
            <v>Klabab Abdulwareth</v>
          </cell>
          <cell r="C1344" t="str">
            <v>BUILDING ROOTS</v>
          </cell>
          <cell r="D1344" t="str">
            <v>Scaffolder</v>
          </cell>
        </row>
        <row r="1345">
          <cell r="A1345" t="str">
            <v>2601142132</v>
          </cell>
          <cell r="B1345" t="str">
            <v>Komial Ahmed</v>
          </cell>
          <cell r="C1345" t="str">
            <v>BUILDING ROOTS</v>
          </cell>
          <cell r="D1345" t="str">
            <v>Steel Fixer</v>
          </cell>
        </row>
        <row r="1346">
          <cell r="A1346" t="str">
            <v>2427630088</v>
          </cell>
          <cell r="B1346" t="str">
            <v>Krishna Bahadur</v>
          </cell>
          <cell r="C1346" t="str">
            <v>SAUDI BAUER</v>
          </cell>
          <cell r="D1346" t="str">
            <v>Steel Fixer</v>
          </cell>
        </row>
        <row r="1347">
          <cell r="A1347" t="str">
            <v>2550101634</v>
          </cell>
          <cell r="B1347" t="str">
            <v>Krishna Pravin</v>
          </cell>
          <cell r="C1347" t="str">
            <v>BOUYGUES CONST.</v>
          </cell>
          <cell r="D1347" t="str">
            <v>Contracts Manager</v>
          </cell>
        </row>
        <row r="1348">
          <cell r="A1348" t="str">
            <v>2547255154</v>
          </cell>
          <cell r="B1348" t="str">
            <v>Kulanthaiya Pillai</v>
          </cell>
          <cell r="C1348" t="str">
            <v>BOUYGUES CONST.</v>
          </cell>
          <cell r="D1348" t="str">
            <v>Qa / Qc Engineer</v>
          </cell>
        </row>
        <row r="1349">
          <cell r="A1349" t="str">
            <v>2525553067</v>
          </cell>
          <cell r="B1349" t="str">
            <v>Kumar Akhilesh</v>
          </cell>
          <cell r="C1349" t="str">
            <v>ALMABANI CONT.</v>
          </cell>
          <cell r="D1349" t="str">
            <v>Gypsum Fixer</v>
          </cell>
        </row>
        <row r="1350">
          <cell r="A1350" t="str">
            <v>2326218151</v>
          </cell>
          <cell r="B1350" t="str">
            <v>Laiq</v>
          </cell>
          <cell r="C1350" t="str">
            <v>ELITE HEART</v>
          </cell>
          <cell r="D1350" t="str">
            <v>Electrician</v>
          </cell>
        </row>
        <row r="1351">
          <cell r="A1351" t="str">
            <v>6156389275</v>
          </cell>
          <cell r="B1351" t="str">
            <v>Lakehal Monia</v>
          </cell>
          <cell r="C1351" t="str">
            <v>BOUYGUES CONST.</v>
          </cell>
          <cell r="D1351" t="str">
            <v>Coordinator Manager</v>
          </cell>
        </row>
        <row r="1352">
          <cell r="A1352" t="str">
            <v>2548319892</v>
          </cell>
          <cell r="B1352" t="str">
            <v>Lakshmanan</v>
          </cell>
          <cell r="C1352" t="str">
            <v>SAUDI BAUER</v>
          </cell>
          <cell r="D1352" t="str">
            <v>Supervisor</v>
          </cell>
        </row>
        <row r="1353">
          <cell r="A1353" t="str">
            <v>2521987988</v>
          </cell>
          <cell r="B1353" t="str">
            <v>Lal Chand</v>
          </cell>
          <cell r="C1353" t="str">
            <v>ALMABANI CONT.</v>
          </cell>
          <cell r="D1353" t="str">
            <v>Electrician</v>
          </cell>
        </row>
        <row r="1354">
          <cell r="A1354" t="str">
            <v>2532520810</v>
          </cell>
          <cell r="B1354" t="str">
            <v>Lal Miah</v>
          </cell>
          <cell r="C1354" t="str">
            <v>ELITE HEART</v>
          </cell>
          <cell r="D1354" t="str">
            <v>Labor</v>
          </cell>
        </row>
        <row r="1355">
          <cell r="A1355" t="str">
            <v>2351281783</v>
          </cell>
          <cell r="B1355" t="str">
            <v>Lal hussain</v>
          </cell>
          <cell r="C1355" t="str">
            <v>BUILDING ROOTS</v>
          </cell>
          <cell r="D1355" t="str">
            <v>Labor</v>
          </cell>
        </row>
        <row r="1356">
          <cell r="A1356" t="str">
            <v>2439144722</v>
          </cell>
          <cell r="B1356" t="str">
            <v>Lalon Mia</v>
          </cell>
          <cell r="C1356" t="str">
            <v>GLOBAL CASTLES</v>
          </cell>
          <cell r="D1356" t="str">
            <v>Steel Fixer</v>
          </cell>
        </row>
        <row r="1357">
          <cell r="A1357" t="str">
            <v>2515775068</v>
          </cell>
          <cell r="B1357" t="str">
            <v>Lalzada</v>
          </cell>
          <cell r="C1357" t="str">
            <v>BUILDING ROOTS</v>
          </cell>
          <cell r="D1357" t="str">
            <v>-</v>
          </cell>
        </row>
        <row r="1358">
          <cell r="A1358" t="str">
            <v>2626703538</v>
          </cell>
          <cell r="B1358" t="str">
            <v>Latif Ullah</v>
          </cell>
          <cell r="C1358" t="str">
            <v>BUILDING ROOTS</v>
          </cell>
          <cell r="D1358" t="str">
            <v>Carpenter</v>
          </cell>
        </row>
        <row r="1359">
          <cell r="A1359" t="str">
            <v>2485890285</v>
          </cell>
          <cell r="B1359" t="str">
            <v>Latif ullah</v>
          </cell>
          <cell r="C1359" t="str">
            <v>BUILDING ROOTS</v>
          </cell>
          <cell r="D1359" t="str">
            <v>Carpenter</v>
          </cell>
        </row>
        <row r="1360">
          <cell r="A1360" t="str">
            <v>6153268709</v>
          </cell>
          <cell r="B1360" t="str">
            <v>Laurent</v>
          </cell>
          <cell r="C1360" t="str">
            <v>BOUYGUES CONST.</v>
          </cell>
          <cell r="D1360" t="str">
            <v>Technical Engineer</v>
          </cell>
        </row>
        <row r="1361">
          <cell r="A1361" t="str">
            <v>2597498829</v>
          </cell>
          <cell r="B1361" t="str">
            <v>Lawar Khan</v>
          </cell>
          <cell r="C1361" t="str">
            <v>ELITE HEART</v>
          </cell>
          <cell r="D1361" t="str">
            <v>Carpenter</v>
          </cell>
        </row>
        <row r="1362">
          <cell r="A1362" t="str">
            <v>2365827530</v>
          </cell>
          <cell r="B1362" t="str">
            <v>Lekhanath Bohora</v>
          </cell>
          <cell r="C1362" t="str">
            <v>BOUYGUES CONST.</v>
          </cell>
          <cell r="D1362" t="str">
            <v>Scaffolding Inspector</v>
          </cell>
        </row>
        <row r="1363">
          <cell r="A1363" t="str">
            <v>2614646889</v>
          </cell>
          <cell r="B1363" t="str">
            <v>Liaqat Khan</v>
          </cell>
          <cell r="C1363" t="str">
            <v>ELITE HEART</v>
          </cell>
          <cell r="D1363" t="str">
            <v>Labour</v>
          </cell>
        </row>
        <row r="1364">
          <cell r="A1364" t="str">
            <v>2532721285</v>
          </cell>
          <cell r="B1364" t="str">
            <v>Liaqat Mehmood</v>
          </cell>
          <cell r="C1364" t="str">
            <v>IDEA AND FLOW</v>
          </cell>
          <cell r="D1364" t="str">
            <v>Foreman</v>
          </cell>
        </row>
        <row r="1365">
          <cell r="A1365" t="str">
            <v>2630924427</v>
          </cell>
          <cell r="B1365" t="str">
            <v>Liaqat ali</v>
          </cell>
          <cell r="C1365" t="str">
            <v>BUILDING ROOTS</v>
          </cell>
          <cell r="D1365" t="str">
            <v>Steel Fixer</v>
          </cell>
        </row>
        <row r="1366">
          <cell r="A1366" t="str">
            <v>2555199971</v>
          </cell>
          <cell r="B1366" t="str">
            <v>Lillian Robison</v>
          </cell>
          <cell r="C1366" t="str">
            <v>PARSON</v>
          </cell>
          <cell r="D1366" t="str">
            <v>Permitting Officer Director</v>
          </cell>
        </row>
        <row r="1367">
          <cell r="A1367" t="str">
            <v>2550752832</v>
          </cell>
          <cell r="B1367" t="str">
            <v>Limon</v>
          </cell>
          <cell r="C1367" t="str">
            <v>EURO TENT</v>
          </cell>
          <cell r="D1367" t="str">
            <v>Labour</v>
          </cell>
        </row>
        <row r="1368">
          <cell r="A1368" t="str">
            <v>2578557189</v>
          </cell>
          <cell r="B1368" t="str">
            <v>Lpton Mollik</v>
          </cell>
          <cell r="C1368" t="str">
            <v>GLOBAL CASTLES</v>
          </cell>
          <cell r="D1368" t="str">
            <v>Steel Fixer</v>
          </cell>
        </row>
        <row r="1369">
          <cell r="A1369" t="str">
            <v>2547098935</v>
          </cell>
          <cell r="B1369" t="str">
            <v>Luisal khan</v>
          </cell>
          <cell r="C1369" t="str">
            <v>ELITE HEART</v>
          </cell>
          <cell r="D1369" t="str">
            <v>Bobcat operator</v>
          </cell>
        </row>
        <row r="1370">
          <cell r="A1370" t="str">
            <v>2535075200</v>
          </cell>
          <cell r="B1370" t="str">
            <v>Luqman</v>
          </cell>
          <cell r="C1370" t="str">
            <v>ELITE HEART</v>
          </cell>
          <cell r="D1370" t="str">
            <v>Rigger</v>
          </cell>
        </row>
        <row r="1371">
          <cell r="A1371" t="str">
            <v>2426726242</v>
          </cell>
          <cell r="B1371" t="str">
            <v>Luqman</v>
          </cell>
          <cell r="C1371" t="str">
            <v>ALMABANI CONT.</v>
          </cell>
          <cell r="D1371" t="str">
            <v>Carpenter</v>
          </cell>
        </row>
        <row r="1372">
          <cell r="A1372" t="str">
            <v>2635074574</v>
          </cell>
          <cell r="B1372" t="str">
            <v>Luqman</v>
          </cell>
          <cell r="C1372" t="str">
            <v>BUILDING ROOTS</v>
          </cell>
          <cell r="D1372" t="str">
            <v>Steel Fixer</v>
          </cell>
        </row>
        <row r="1373">
          <cell r="A1373" t="str">
            <v>2549174403</v>
          </cell>
          <cell r="B1373" t="str">
            <v>Luqman Sanaullah</v>
          </cell>
          <cell r="C1373" t="str">
            <v>TAMIMI</v>
          </cell>
          <cell r="D1373" t="str">
            <v>Rigger</v>
          </cell>
        </row>
        <row r="1374">
          <cell r="A1374" t="str">
            <v>2617323148</v>
          </cell>
          <cell r="B1374" t="str">
            <v>Luqman Shah</v>
          </cell>
          <cell r="C1374" t="str">
            <v>BUILDING ROOTS</v>
          </cell>
          <cell r="D1374" t="str">
            <v>Steel Fixer</v>
          </cell>
        </row>
        <row r="1375">
          <cell r="A1375" t="str">
            <v>2589205133</v>
          </cell>
          <cell r="B1375" t="str">
            <v>Luqman khan</v>
          </cell>
          <cell r="C1375" t="str">
            <v>GLOBAL CASTLE</v>
          </cell>
          <cell r="D1375" t="str">
            <v>Foreman</v>
          </cell>
        </row>
        <row r="1376">
          <cell r="A1376" t="str">
            <v>2514358106</v>
          </cell>
          <cell r="B1376" t="str">
            <v>Luqman khan</v>
          </cell>
          <cell r="C1376" t="str">
            <v>BUILDING ROOTS</v>
          </cell>
          <cell r="D1376" t="str">
            <v>labor</v>
          </cell>
        </row>
        <row r="1377">
          <cell r="A1377" t="str">
            <v>2457925119</v>
          </cell>
          <cell r="B1377" t="str">
            <v>Lutfi Ali</v>
          </cell>
          <cell r="C1377" t="str">
            <v>BUILDING ROOTS</v>
          </cell>
          <cell r="D1377" t="str">
            <v>Steel Fixer</v>
          </cell>
        </row>
        <row r="1378">
          <cell r="A1378" t="str">
            <v>2593895077</v>
          </cell>
          <cell r="B1378" t="str">
            <v>M Ali</v>
          </cell>
          <cell r="C1378" t="str">
            <v>GLOBAL CASTLES</v>
          </cell>
          <cell r="D1378" t="str">
            <v>Rigger</v>
          </cell>
        </row>
        <row r="1379">
          <cell r="A1379" t="str">
            <v>2579740529</v>
          </cell>
          <cell r="B1379" t="str">
            <v>M Amin</v>
          </cell>
          <cell r="C1379" t="str">
            <v>ELITE HEART</v>
          </cell>
          <cell r="D1379" t="str">
            <v>Steel Fixer</v>
          </cell>
        </row>
        <row r="1380">
          <cell r="A1380" t="str">
            <v>2549964985</v>
          </cell>
          <cell r="B1380" t="str">
            <v>M Ayoub</v>
          </cell>
          <cell r="C1380" t="str">
            <v>SAUDI BAUER</v>
          </cell>
          <cell r="D1380" t="str">
            <v>Helper</v>
          </cell>
        </row>
        <row r="1381">
          <cell r="A1381" t="str">
            <v>2622717537</v>
          </cell>
          <cell r="B1381" t="str">
            <v>M Dawood</v>
          </cell>
          <cell r="C1381" t="str">
            <v>ELITE HEART</v>
          </cell>
          <cell r="D1381" t="str">
            <v>Labour</v>
          </cell>
        </row>
        <row r="1382">
          <cell r="A1382" t="str">
            <v>2532242944</v>
          </cell>
          <cell r="B1382" t="str">
            <v>M Ikhlaq</v>
          </cell>
          <cell r="C1382" t="str">
            <v>SAUDI BAUER</v>
          </cell>
          <cell r="D1382" t="str">
            <v>Helper</v>
          </cell>
        </row>
        <row r="1383">
          <cell r="A1383" t="str">
            <v>2304531524</v>
          </cell>
          <cell r="B1383" t="str">
            <v>M Nadeem</v>
          </cell>
          <cell r="C1383" t="str">
            <v>ELITE HEART</v>
          </cell>
          <cell r="D1383" t="str">
            <v>Steel Fixer</v>
          </cell>
        </row>
        <row r="1384">
          <cell r="A1384" t="str">
            <v>2566699514</v>
          </cell>
          <cell r="B1384" t="str">
            <v>M Siam</v>
          </cell>
          <cell r="C1384" t="str">
            <v>TAMIMI</v>
          </cell>
          <cell r="D1384" t="str">
            <v>Technician</v>
          </cell>
        </row>
        <row r="1385">
          <cell r="A1385" t="str">
            <v>2516239775</v>
          </cell>
          <cell r="B1385" t="str">
            <v>M Zahid</v>
          </cell>
          <cell r="C1385" t="str">
            <v>ALMABANI CONT.</v>
          </cell>
          <cell r="D1385" t="str">
            <v>Reposting Engineer</v>
          </cell>
        </row>
        <row r="1386">
          <cell r="A1386" t="str">
            <v>24263331704</v>
          </cell>
          <cell r="B1386" t="str">
            <v>M enamul</v>
          </cell>
          <cell r="C1386" t="str">
            <v>PRAINSA</v>
          </cell>
          <cell r="D1386" t="str">
            <v>labor</v>
          </cell>
        </row>
        <row r="1387">
          <cell r="A1387" t="str">
            <v>2530483763</v>
          </cell>
          <cell r="B1387" t="str">
            <v>M ilyas</v>
          </cell>
          <cell r="C1387" t="str">
            <v>BUILDING ROOTS</v>
          </cell>
          <cell r="D1387" t="str">
            <v>Hse Officer</v>
          </cell>
        </row>
        <row r="1388">
          <cell r="A1388" t="str">
            <v>2627063684</v>
          </cell>
          <cell r="B1388" t="str">
            <v>M usman ghani</v>
          </cell>
          <cell r="C1388" t="str">
            <v>ELITE HEART</v>
          </cell>
          <cell r="D1388" t="str">
            <v>Steel Fixer</v>
          </cell>
        </row>
        <row r="1389">
          <cell r="A1389" t="str">
            <v>2601562867</v>
          </cell>
          <cell r="B1389" t="str">
            <v>M.I. Isham Mohamed</v>
          </cell>
          <cell r="C1389" t="str">
            <v>BOUYGUES CONST.</v>
          </cell>
          <cell r="D1389" t="str">
            <v>Cost Controller</v>
          </cell>
        </row>
        <row r="1390">
          <cell r="A1390" t="str">
            <v>2593406438</v>
          </cell>
          <cell r="B1390" t="str">
            <v>MD Akash Mia</v>
          </cell>
          <cell r="C1390" t="str">
            <v>GLOBAL CASTLES</v>
          </cell>
          <cell r="D1390" t="str">
            <v>Scaffolder</v>
          </cell>
        </row>
        <row r="1391">
          <cell r="A1391" t="str">
            <v>2630451991</v>
          </cell>
          <cell r="B1391" t="str">
            <v>MD Al Noman</v>
          </cell>
          <cell r="C1391" t="str">
            <v>PRAINSA</v>
          </cell>
          <cell r="D1391" t="str">
            <v>Labour</v>
          </cell>
        </row>
        <row r="1392">
          <cell r="A1392" t="str">
            <v>2587141918</v>
          </cell>
          <cell r="B1392" t="str">
            <v>MD Ali Raza</v>
          </cell>
          <cell r="C1392" t="str">
            <v>BUILDING ROOTS</v>
          </cell>
          <cell r="D1392" t="str">
            <v>Steel Fixer</v>
          </cell>
        </row>
        <row r="1393">
          <cell r="A1393" t="str">
            <v>2610906645</v>
          </cell>
          <cell r="B1393" t="str">
            <v>MD Altaf</v>
          </cell>
          <cell r="C1393" t="str">
            <v>BUILDING ROOTS</v>
          </cell>
          <cell r="D1393" t="str">
            <v>Steel Fixer</v>
          </cell>
        </row>
        <row r="1394">
          <cell r="A1394" t="str">
            <v>2629038585</v>
          </cell>
          <cell r="B1394" t="str">
            <v>MD Awais</v>
          </cell>
          <cell r="C1394" t="str">
            <v>ELITE HEART</v>
          </cell>
          <cell r="D1394" t="str">
            <v>Steel Fixer</v>
          </cell>
        </row>
        <row r="1395">
          <cell r="A1395" t="str">
            <v>2621731567</v>
          </cell>
          <cell r="B1395" t="str">
            <v>MD Belal Hossain</v>
          </cell>
          <cell r="C1395" t="str">
            <v>GLOBAL CASTLES</v>
          </cell>
          <cell r="D1395" t="str">
            <v>Scaffolder</v>
          </cell>
        </row>
        <row r="1396">
          <cell r="A1396" t="str">
            <v>2599043433</v>
          </cell>
          <cell r="B1396" t="str">
            <v>MD Islam</v>
          </cell>
          <cell r="C1396" t="str">
            <v>ANNAQ</v>
          </cell>
          <cell r="D1396" t="str">
            <v>Helper</v>
          </cell>
        </row>
        <row r="1397">
          <cell r="A1397" t="str">
            <v>2556067417</v>
          </cell>
          <cell r="B1397" t="str">
            <v>MD Jahirul Islam</v>
          </cell>
          <cell r="C1397" t="str">
            <v>ELITE HEART</v>
          </cell>
          <cell r="D1397" t="str">
            <v>Steel Fixer</v>
          </cell>
        </row>
        <row r="1398">
          <cell r="A1398" t="str">
            <v>2557143605</v>
          </cell>
          <cell r="B1398" t="str">
            <v>MD Khalid</v>
          </cell>
          <cell r="C1398" t="str">
            <v>BUILDING ROOTS</v>
          </cell>
          <cell r="D1398" t="str">
            <v>Foreman</v>
          </cell>
        </row>
        <row r="1399">
          <cell r="A1399" t="str">
            <v>2611796794</v>
          </cell>
          <cell r="B1399" t="str">
            <v>MD Molla</v>
          </cell>
          <cell r="C1399" t="str">
            <v>ANNAQ</v>
          </cell>
          <cell r="D1399" t="str">
            <v>Plumber</v>
          </cell>
        </row>
        <row r="1400">
          <cell r="A1400" t="str">
            <v>2588508405</v>
          </cell>
          <cell r="B1400" t="str">
            <v>MD Monir Mia</v>
          </cell>
          <cell r="C1400" t="str">
            <v>GLOBAL CASTLES</v>
          </cell>
          <cell r="D1400" t="str">
            <v>Scaffolder</v>
          </cell>
        </row>
        <row r="1401">
          <cell r="A1401" t="str">
            <v>2618179150</v>
          </cell>
          <cell r="B1401" t="str">
            <v>MD Mukul Islam</v>
          </cell>
          <cell r="C1401" t="str">
            <v>ELITE HEART</v>
          </cell>
          <cell r="D1401" t="str">
            <v>Steel Fixer</v>
          </cell>
        </row>
        <row r="1402">
          <cell r="A1402" t="str">
            <v>2619090182</v>
          </cell>
          <cell r="B1402" t="str">
            <v>MD Rabiul Islam</v>
          </cell>
          <cell r="C1402" t="str">
            <v>GLOBAL CASTLES</v>
          </cell>
          <cell r="D1402" t="str">
            <v>Scaffolder</v>
          </cell>
        </row>
        <row r="1403">
          <cell r="A1403" t="str">
            <v>2543956904</v>
          </cell>
          <cell r="B1403" t="str">
            <v>MD Saghir</v>
          </cell>
          <cell r="C1403" t="str">
            <v>BUILDING ROOTS</v>
          </cell>
          <cell r="D1403" t="str">
            <v>Steel Fixer</v>
          </cell>
        </row>
        <row r="1404">
          <cell r="A1404" t="str">
            <v>2481846372</v>
          </cell>
          <cell r="B1404" t="str">
            <v>MD Saha Alam</v>
          </cell>
          <cell r="C1404" t="str">
            <v>PRAINSA</v>
          </cell>
          <cell r="D1404" t="str">
            <v>Labour</v>
          </cell>
        </row>
        <row r="1405">
          <cell r="A1405" t="str">
            <v>2572444640</v>
          </cell>
          <cell r="B1405" t="str">
            <v>MD Shoukat Ali</v>
          </cell>
          <cell r="C1405" t="str">
            <v>GLOBAL CASTLES</v>
          </cell>
          <cell r="D1405" t="str">
            <v>Steel Foreman</v>
          </cell>
        </row>
        <row r="1406">
          <cell r="A1406" t="str">
            <v>2620958435</v>
          </cell>
          <cell r="B1406" t="str">
            <v>MD Sujan Mia</v>
          </cell>
          <cell r="C1406" t="str">
            <v>GLOBAL CASTLES</v>
          </cell>
          <cell r="D1406" t="str">
            <v>Scaffolder</v>
          </cell>
        </row>
        <row r="1407">
          <cell r="A1407" t="str">
            <v>2588508255</v>
          </cell>
          <cell r="B1407" t="str">
            <v>MD Sykhul Islam</v>
          </cell>
          <cell r="C1407" t="str">
            <v>ELITE HEART</v>
          </cell>
          <cell r="D1407" t="str">
            <v>Scaffolder</v>
          </cell>
        </row>
        <row r="1408">
          <cell r="A1408" t="str">
            <v>2551160118</v>
          </cell>
          <cell r="B1408" t="str">
            <v>MD Yeamin</v>
          </cell>
          <cell r="C1408" t="str">
            <v>GLOBAL CASTLES</v>
          </cell>
          <cell r="D1408" t="str">
            <v>Scaffolder</v>
          </cell>
        </row>
        <row r="1409">
          <cell r="A1409" t="str">
            <v>2544380948</v>
          </cell>
          <cell r="B1409" t="str">
            <v>MD. Kareem</v>
          </cell>
          <cell r="C1409" t="str">
            <v>ELITE HEART</v>
          </cell>
          <cell r="D1409" t="str">
            <v>Carpenter</v>
          </cell>
        </row>
        <row r="1410">
          <cell r="A1410" t="str">
            <v>2611876893</v>
          </cell>
          <cell r="B1410" t="str">
            <v>Maaz</v>
          </cell>
          <cell r="C1410" t="str">
            <v>BUILDING ROOTS</v>
          </cell>
          <cell r="D1410" t="str">
            <v>Steel Fixer</v>
          </cell>
        </row>
        <row r="1411">
          <cell r="A1411" t="str">
            <v>2521988085</v>
          </cell>
          <cell r="B1411" t="str">
            <v>Madan Lal Dudi</v>
          </cell>
          <cell r="C1411" t="str">
            <v>ALMABANI CONT.</v>
          </cell>
          <cell r="D1411" t="str">
            <v>Painter</v>
          </cell>
        </row>
        <row r="1412">
          <cell r="A1412" t="str">
            <v>2573617103</v>
          </cell>
          <cell r="B1412" t="str">
            <v>Madhuri Nuguri</v>
          </cell>
          <cell r="C1412" t="str">
            <v>BOUYGUES CONST.</v>
          </cell>
          <cell r="D1412" t="str">
            <v>Administrative Assistant</v>
          </cell>
        </row>
        <row r="1413">
          <cell r="A1413" t="str">
            <v>2579884053</v>
          </cell>
          <cell r="B1413" t="str">
            <v>Mafazzel</v>
          </cell>
          <cell r="C1413" t="str">
            <v>PRAINSA</v>
          </cell>
          <cell r="D1413" t="str">
            <v>Labour</v>
          </cell>
        </row>
        <row r="1414">
          <cell r="A1414" t="str">
            <v>2250734841</v>
          </cell>
          <cell r="B1414" t="str">
            <v>Maged Abdo Saif</v>
          </cell>
          <cell r="C1414" t="str">
            <v>BUILDING ROOTS</v>
          </cell>
          <cell r="D1414" t="str">
            <v>Carpenter</v>
          </cell>
        </row>
        <row r="1415">
          <cell r="A1415" t="str">
            <v>2616077893</v>
          </cell>
          <cell r="B1415" t="str">
            <v>Mahat</v>
          </cell>
          <cell r="C1415" t="str">
            <v>BUILDING ROOTS</v>
          </cell>
          <cell r="D1415" t="str">
            <v>Steel Fixer</v>
          </cell>
        </row>
        <row r="1416">
          <cell r="A1416" t="str">
            <v>2392168460</v>
          </cell>
          <cell r="B1416" t="str">
            <v>Mahaz Alkalaf</v>
          </cell>
          <cell r="C1416" t="str">
            <v>ELITE HEART</v>
          </cell>
          <cell r="D1416" t="str">
            <v>Labour</v>
          </cell>
        </row>
        <row r="1417">
          <cell r="A1417" t="str">
            <v>2612179305</v>
          </cell>
          <cell r="B1417" t="str">
            <v>Mahazaz</v>
          </cell>
          <cell r="C1417" t="str">
            <v>GLOBAL CASTLES</v>
          </cell>
          <cell r="D1417" t="str">
            <v>Labour</v>
          </cell>
        </row>
        <row r="1418">
          <cell r="A1418" t="str">
            <v>2628462265</v>
          </cell>
          <cell r="B1418" t="str">
            <v>Mahbubur rahman</v>
          </cell>
          <cell r="C1418" t="str">
            <v>ANNAQ</v>
          </cell>
          <cell r="D1418" t="str">
            <v>Helper</v>
          </cell>
        </row>
        <row r="1419">
          <cell r="A1419" t="str">
            <v>2525508574</v>
          </cell>
          <cell r="B1419" t="str">
            <v>Mahdi Abdul Alem</v>
          </cell>
          <cell r="C1419" t="str">
            <v>BUILDING ROOTS</v>
          </cell>
          <cell r="D1419" t="str">
            <v>Carpenter</v>
          </cell>
        </row>
        <row r="1420">
          <cell r="A1420" t="str">
            <v>2302689977</v>
          </cell>
          <cell r="B1420" t="str">
            <v>Mahdi Ameen</v>
          </cell>
          <cell r="C1420" t="str">
            <v>BUILDING ROOTS</v>
          </cell>
          <cell r="D1420" t="str">
            <v>Carpenter</v>
          </cell>
        </row>
        <row r="1421">
          <cell r="A1421" t="str">
            <v>2579831237</v>
          </cell>
          <cell r="B1421" t="str">
            <v>Maher Mohamed</v>
          </cell>
          <cell r="C1421" t="str">
            <v>BUILDING ROOTS</v>
          </cell>
          <cell r="D1421" t="str">
            <v>Carpenter</v>
          </cell>
        </row>
        <row r="1422">
          <cell r="A1422" t="str">
            <v>2459328403</v>
          </cell>
          <cell r="B1422" t="str">
            <v>Mahfuj raja</v>
          </cell>
          <cell r="C1422" t="str">
            <v>BUILDING ROOTS</v>
          </cell>
          <cell r="D1422" t="str">
            <v>Rigger</v>
          </cell>
        </row>
        <row r="1423">
          <cell r="A1423" t="str">
            <v>2431443346</v>
          </cell>
          <cell r="B1423" t="str">
            <v>Mahik hossan</v>
          </cell>
          <cell r="C1423" t="str">
            <v>BUILDING ROOTS</v>
          </cell>
          <cell r="D1423" t="str">
            <v>mason</v>
          </cell>
        </row>
        <row r="1424">
          <cell r="A1424" t="str">
            <v>2532122062</v>
          </cell>
          <cell r="B1424" t="str">
            <v>Mahipal</v>
          </cell>
          <cell r="C1424" t="str">
            <v>ALMABANI CONT.</v>
          </cell>
          <cell r="D1424" t="str">
            <v>Painter</v>
          </cell>
        </row>
        <row r="1425">
          <cell r="A1425" t="str">
            <v>2340884515</v>
          </cell>
          <cell r="B1425" t="str">
            <v>Mahmod</v>
          </cell>
          <cell r="C1425" t="str">
            <v>SAUDI BAUER</v>
          </cell>
          <cell r="D1425" t="str">
            <v>Dump Truck Driver</v>
          </cell>
        </row>
        <row r="1426">
          <cell r="A1426" t="str">
            <v>2540928096</v>
          </cell>
          <cell r="B1426" t="str">
            <v>Mahmood Sultan</v>
          </cell>
          <cell r="C1426" t="str">
            <v>ELITE HEART</v>
          </cell>
          <cell r="D1426" t="str">
            <v>Plumber</v>
          </cell>
        </row>
        <row r="1427">
          <cell r="A1427" t="str">
            <v>2562598959</v>
          </cell>
          <cell r="B1427" t="str">
            <v>Mahmood ali</v>
          </cell>
          <cell r="C1427" t="str">
            <v>AALICO</v>
          </cell>
          <cell r="D1427" t="str">
            <v>Manlift operator</v>
          </cell>
        </row>
        <row r="1428">
          <cell r="A1428" t="str">
            <v>2170357061</v>
          </cell>
          <cell r="B1428" t="str">
            <v>Mahmoud</v>
          </cell>
          <cell r="C1428" t="str">
            <v>ELITE HEART</v>
          </cell>
          <cell r="D1428" t="str">
            <v>Painter</v>
          </cell>
        </row>
        <row r="1429">
          <cell r="A1429" t="str">
            <v>2256214525</v>
          </cell>
          <cell r="B1429" t="str">
            <v>Mahmoud Babay</v>
          </cell>
          <cell r="C1429" t="str">
            <v>APPLUS ARABIA</v>
          </cell>
          <cell r="D1429" t="str">
            <v>Driller</v>
          </cell>
        </row>
        <row r="1430">
          <cell r="A1430" t="str">
            <v>2573999162</v>
          </cell>
          <cell r="B1430" t="str">
            <v>Mahmoud Rashid</v>
          </cell>
          <cell r="C1430" t="str">
            <v>AL FAL HOUSE</v>
          </cell>
          <cell r="D1430" t="str">
            <v>Labour</v>
          </cell>
        </row>
        <row r="1431">
          <cell r="A1431" t="str">
            <v>2160689101</v>
          </cell>
          <cell r="B1431" t="str">
            <v>Mahmoud Saleh</v>
          </cell>
          <cell r="C1431" t="str">
            <v>BUILDING ROOTS</v>
          </cell>
          <cell r="D1431" t="str">
            <v>Supervisor</v>
          </cell>
        </row>
        <row r="1432">
          <cell r="A1432" t="str">
            <v>2292614704</v>
          </cell>
          <cell r="B1432" t="str">
            <v>Mahmoud Wadi</v>
          </cell>
          <cell r="C1432" t="str">
            <v>GULF MARK</v>
          </cell>
          <cell r="D1432" t="str">
            <v>Driver</v>
          </cell>
        </row>
        <row r="1433">
          <cell r="A1433" t="str">
            <v>2241656251</v>
          </cell>
          <cell r="B1433" t="str">
            <v>Mahmoud elsayed</v>
          </cell>
          <cell r="C1433" t="str">
            <v>BUILDING ROOTS</v>
          </cell>
          <cell r="D1433" t="str">
            <v>Foreman</v>
          </cell>
        </row>
        <row r="1434">
          <cell r="A1434" t="str">
            <v>2611287984</v>
          </cell>
          <cell r="B1434" t="str">
            <v>Mahraj Ali</v>
          </cell>
          <cell r="C1434" t="str">
            <v>ELITE HEART</v>
          </cell>
          <cell r="D1434" t="str">
            <v>Carpenter</v>
          </cell>
        </row>
        <row r="1435">
          <cell r="A1435" t="str">
            <v>2579835212</v>
          </cell>
          <cell r="B1435" t="str">
            <v>Main Uddin</v>
          </cell>
          <cell r="C1435" t="str">
            <v>GLOBAL CASTLES</v>
          </cell>
          <cell r="D1435" t="str">
            <v>Carpenter</v>
          </cell>
        </row>
        <row r="1436">
          <cell r="A1436" t="str">
            <v>2590747040</v>
          </cell>
          <cell r="B1436" t="str">
            <v>Majeed haseeb</v>
          </cell>
          <cell r="C1436" t="str">
            <v>JV (BBI-AGC)</v>
          </cell>
          <cell r="D1436" t="str">
            <v>QS</v>
          </cell>
        </row>
        <row r="1437">
          <cell r="A1437" t="str">
            <v>2347574705</v>
          </cell>
          <cell r="B1437" t="str">
            <v>Majeet Ali</v>
          </cell>
          <cell r="C1437" t="str">
            <v>BUILDING ROOTS</v>
          </cell>
          <cell r="D1437" t="str">
            <v>Steel Fixer</v>
          </cell>
        </row>
        <row r="1438">
          <cell r="A1438" t="str">
            <v>2607304264</v>
          </cell>
          <cell r="B1438" t="str">
            <v>Majid Rahman</v>
          </cell>
          <cell r="C1438" t="str">
            <v>ARABIAN TOWER</v>
          </cell>
          <cell r="D1438" t="str">
            <v>Operator</v>
          </cell>
        </row>
        <row r="1439">
          <cell r="A1439" t="str">
            <v>2579791407</v>
          </cell>
          <cell r="B1439" t="str">
            <v>Malak Naqshay</v>
          </cell>
          <cell r="C1439" t="str">
            <v>ELITE HEART</v>
          </cell>
          <cell r="D1439" t="str">
            <v>Steel Fixer</v>
          </cell>
        </row>
        <row r="1440">
          <cell r="A1440" t="str">
            <v>2512973484</v>
          </cell>
          <cell r="B1440" t="str">
            <v>Malak Taj</v>
          </cell>
          <cell r="C1440" t="str">
            <v>BUILDING ROOTS</v>
          </cell>
          <cell r="D1440" t="str">
            <v>Scaffolding Operator</v>
          </cell>
        </row>
        <row r="1441">
          <cell r="A1441" t="str">
            <v>2338094572</v>
          </cell>
          <cell r="B1441" t="str">
            <v>Malik Abubakar</v>
          </cell>
          <cell r="C1441" t="str">
            <v>SAUDI BAUER</v>
          </cell>
          <cell r="D1441" t="str">
            <v>Surveyor</v>
          </cell>
        </row>
        <row r="1442">
          <cell r="A1442" t="str">
            <v>2575412883</v>
          </cell>
          <cell r="B1442" t="str">
            <v>Malik Baz</v>
          </cell>
          <cell r="C1442" t="str">
            <v>SAUDI BAUER</v>
          </cell>
          <cell r="D1442" t="str">
            <v>Helper</v>
          </cell>
        </row>
        <row r="1443">
          <cell r="A1443" t="str">
            <v>2497424123</v>
          </cell>
          <cell r="B1443" t="str">
            <v>Malik Mia</v>
          </cell>
          <cell r="C1443" t="str">
            <v>GLOBAL CASTLES</v>
          </cell>
          <cell r="D1443" t="str">
            <v>Steel Fixer</v>
          </cell>
        </row>
        <row r="1444">
          <cell r="A1444" t="str">
            <v>2608153868</v>
          </cell>
          <cell r="B1444" t="str">
            <v>Malik zaib</v>
          </cell>
          <cell r="C1444" t="str">
            <v>BUILDING ROOTS</v>
          </cell>
          <cell r="D1444" t="str">
            <v>Steel Fixer</v>
          </cell>
        </row>
        <row r="1445">
          <cell r="A1445" t="str">
            <v>2574433500</v>
          </cell>
          <cell r="B1445" t="str">
            <v>Mamudu Bukari</v>
          </cell>
          <cell r="C1445" t="str">
            <v>AL FARIS</v>
          </cell>
          <cell r="D1445" t="str">
            <v>Electrician</v>
          </cell>
        </row>
        <row r="1446">
          <cell r="A1446" t="str">
            <v>2616612939</v>
          </cell>
          <cell r="B1446" t="str">
            <v>Mamun</v>
          </cell>
          <cell r="C1446" t="str">
            <v>GLOBAL CASTLE</v>
          </cell>
          <cell r="D1446" t="str">
            <v>helper</v>
          </cell>
        </row>
        <row r="1447">
          <cell r="A1447" t="str">
            <v>2218400600</v>
          </cell>
          <cell r="B1447" t="str">
            <v>Mani Tahir</v>
          </cell>
          <cell r="C1447" t="str">
            <v>UNIBETON</v>
          </cell>
          <cell r="D1447" t="str">
            <v>Production Manager</v>
          </cell>
        </row>
        <row r="1448">
          <cell r="A1448" t="str">
            <v>2515458038</v>
          </cell>
          <cell r="B1448" t="str">
            <v>Manikandan Kumaresan</v>
          </cell>
          <cell r="C1448" t="str">
            <v>TAMIMI</v>
          </cell>
          <cell r="D1448" t="str">
            <v>Painter</v>
          </cell>
        </row>
        <row r="1449">
          <cell r="A1449" t="str">
            <v>2575088675</v>
          </cell>
          <cell r="B1449" t="str">
            <v>Mansoor</v>
          </cell>
          <cell r="C1449" t="str">
            <v>ALMUTAWAKI</v>
          </cell>
          <cell r="D1449" t="str">
            <v>Supervisor</v>
          </cell>
        </row>
        <row r="1450">
          <cell r="A1450" t="str">
            <v>2610798452</v>
          </cell>
          <cell r="B1450" t="str">
            <v>Mansoor Jaan</v>
          </cell>
          <cell r="C1450" t="str">
            <v>BUILDING ROOTS</v>
          </cell>
          <cell r="D1450" t="str">
            <v>Carpenter</v>
          </cell>
        </row>
        <row r="1451">
          <cell r="A1451" t="str">
            <v>2614399455</v>
          </cell>
          <cell r="B1451" t="str">
            <v>Mansoor Ullah</v>
          </cell>
          <cell r="C1451" t="str">
            <v>ELITE HEART</v>
          </cell>
          <cell r="D1451" t="str">
            <v>Carpenter</v>
          </cell>
        </row>
        <row r="1452">
          <cell r="A1452" t="str">
            <v>2562618716</v>
          </cell>
          <cell r="B1452" t="str">
            <v>Manzor Ahmed</v>
          </cell>
          <cell r="C1452" t="str">
            <v>ELITE HEART</v>
          </cell>
          <cell r="D1452" t="str">
            <v>Labour</v>
          </cell>
        </row>
        <row r="1453">
          <cell r="A1453" t="str">
            <v>2399354774</v>
          </cell>
          <cell r="B1453" t="str">
            <v>Mario Asuncion</v>
          </cell>
          <cell r="C1453" t="str">
            <v>ALMABANI CONT.</v>
          </cell>
          <cell r="D1453" t="str">
            <v>Carpenter</v>
          </cell>
        </row>
        <row r="1454">
          <cell r="A1454" t="str">
            <v>2593750108</v>
          </cell>
          <cell r="B1454" t="str">
            <v>Maroof Khan</v>
          </cell>
          <cell r="C1454" t="str">
            <v>BUILDING ROOTS</v>
          </cell>
          <cell r="D1454" t="str">
            <v>Carpenter</v>
          </cell>
        </row>
        <row r="1455">
          <cell r="A1455" t="str">
            <v>25769367811</v>
          </cell>
          <cell r="B1455" t="str">
            <v>Maruf Abdul</v>
          </cell>
          <cell r="C1455" t="str">
            <v>GLOBAL CASTLES</v>
          </cell>
          <cell r="D1455" t="str">
            <v>Steel Fixer</v>
          </cell>
        </row>
        <row r="1456">
          <cell r="A1456" t="str">
            <v>2619337351</v>
          </cell>
          <cell r="B1456" t="str">
            <v>Maruf Miah</v>
          </cell>
          <cell r="C1456" t="str">
            <v>BUILDING ROOTS</v>
          </cell>
          <cell r="D1456" t="str">
            <v>Labour</v>
          </cell>
        </row>
        <row r="1457">
          <cell r="A1457" t="str">
            <v>2504894656</v>
          </cell>
          <cell r="B1457" t="str">
            <v>Masom Mia</v>
          </cell>
          <cell r="C1457" t="str">
            <v>BUILDING ROOTS</v>
          </cell>
          <cell r="D1457" t="str">
            <v>Scaffolder</v>
          </cell>
        </row>
        <row r="1458">
          <cell r="A1458" t="str">
            <v>2555499710</v>
          </cell>
          <cell r="B1458" t="str">
            <v>Masood Ahmad</v>
          </cell>
          <cell r="C1458" t="str">
            <v>BUILDING ROOTS</v>
          </cell>
          <cell r="D1458" t="str">
            <v>Labour</v>
          </cell>
        </row>
        <row r="1459">
          <cell r="A1459" t="str">
            <v>2584431580</v>
          </cell>
          <cell r="B1459" t="str">
            <v>Masood Ali</v>
          </cell>
          <cell r="C1459" t="str">
            <v>BUILDING ROOTS</v>
          </cell>
          <cell r="D1459" t="str">
            <v>Carpenter</v>
          </cell>
        </row>
        <row r="1460">
          <cell r="A1460" t="str">
            <v>2226630974</v>
          </cell>
          <cell r="B1460" t="str">
            <v>Masoom</v>
          </cell>
          <cell r="C1460" t="str">
            <v>QIDDIYA</v>
          </cell>
          <cell r="D1460" t="str">
            <v>Spm</v>
          </cell>
        </row>
        <row r="1461">
          <cell r="A1461" t="str">
            <v>2554049508</v>
          </cell>
          <cell r="B1461" t="str">
            <v>Masud Khan</v>
          </cell>
          <cell r="C1461" t="str">
            <v>SAUDI BAUER</v>
          </cell>
          <cell r="D1461" t="str">
            <v>Electrician</v>
          </cell>
        </row>
        <row r="1462">
          <cell r="A1462" t="str">
            <v>2610515427</v>
          </cell>
          <cell r="B1462" t="str">
            <v>Masul Lal</v>
          </cell>
          <cell r="C1462" t="str">
            <v>GLOBAL CASTLES</v>
          </cell>
          <cell r="D1462" t="str">
            <v>Carpenter</v>
          </cell>
        </row>
        <row r="1463">
          <cell r="A1463" t="str">
            <v>2592914077</v>
          </cell>
          <cell r="B1463" t="str">
            <v>Masum</v>
          </cell>
          <cell r="C1463" t="str">
            <v>GLOBAL CASTLE</v>
          </cell>
          <cell r="D1463" t="str">
            <v>Steel Fixer</v>
          </cell>
        </row>
        <row r="1464">
          <cell r="A1464" t="str">
            <v>2571815535</v>
          </cell>
          <cell r="B1464" t="str">
            <v>Mati Ullah</v>
          </cell>
          <cell r="C1464" t="str">
            <v>BUILDING ROOTS</v>
          </cell>
          <cell r="D1464" t="str">
            <v>Labour</v>
          </cell>
        </row>
        <row r="1465">
          <cell r="A1465" t="str">
            <v>2550484760</v>
          </cell>
          <cell r="B1465" t="str">
            <v>Matieh Ullah</v>
          </cell>
          <cell r="C1465" t="str">
            <v>BUILDING ROOTS</v>
          </cell>
          <cell r="D1465" t="str">
            <v>Steel Fixer</v>
          </cell>
        </row>
        <row r="1466">
          <cell r="A1466" t="str">
            <v>2130024439</v>
          </cell>
          <cell r="B1466" t="str">
            <v>Matiullah khan</v>
          </cell>
          <cell r="C1466" t="str">
            <v>UNITED GULF</v>
          </cell>
          <cell r="D1466" t="str">
            <v>Driver</v>
          </cell>
        </row>
        <row r="1467">
          <cell r="A1467" t="str">
            <v>2534375759</v>
          </cell>
          <cell r="B1467" t="str">
            <v>Matloob Ahmed</v>
          </cell>
          <cell r="C1467" t="str">
            <v>AL AZANI</v>
          </cell>
          <cell r="D1467" t="str">
            <v>Boom Truck Operator</v>
          </cell>
        </row>
        <row r="1468">
          <cell r="A1468" t="str">
            <v>2569212117</v>
          </cell>
          <cell r="B1468" t="str">
            <v>Matur Abdul</v>
          </cell>
          <cell r="C1468" t="str">
            <v>SAUDI BAUER</v>
          </cell>
          <cell r="D1468" t="str">
            <v>Engineer</v>
          </cell>
        </row>
        <row r="1469">
          <cell r="A1469" t="str">
            <v>2615115041</v>
          </cell>
          <cell r="B1469" t="str">
            <v>Mavin</v>
          </cell>
          <cell r="C1469" t="str">
            <v>ARABIAN TOWER</v>
          </cell>
          <cell r="D1469" t="str">
            <v>Crane oprtr</v>
          </cell>
        </row>
        <row r="1470">
          <cell r="A1470" t="str">
            <v>2605277348</v>
          </cell>
          <cell r="B1470" t="str">
            <v>Mawgod Maresh</v>
          </cell>
          <cell r="C1470" t="str">
            <v>BUILDING ROOTS</v>
          </cell>
          <cell r="D1470" t="str">
            <v>Carpenter</v>
          </cell>
        </row>
        <row r="1471">
          <cell r="A1471" t="str">
            <v>2541349045</v>
          </cell>
          <cell r="B1471" t="str">
            <v>Mazen Najib</v>
          </cell>
          <cell r="C1471" t="str">
            <v>BUILDING ROOTS</v>
          </cell>
          <cell r="D1471" t="str">
            <v>Carpenter</v>
          </cell>
        </row>
        <row r="1472">
          <cell r="A1472" t="str">
            <v>2603653037</v>
          </cell>
          <cell r="B1472" t="str">
            <v>Mazhar Iqbal</v>
          </cell>
          <cell r="C1472" t="str">
            <v>BUILDING ROOTS</v>
          </cell>
          <cell r="D1472" t="str">
            <v>Steel Fixer</v>
          </cell>
        </row>
        <row r="1473">
          <cell r="A1473" t="str">
            <v>2616746422</v>
          </cell>
          <cell r="B1473" t="str">
            <v>Md  Jabed Miah</v>
          </cell>
          <cell r="C1473" t="str">
            <v>BUILDING ROOTS</v>
          </cell>
          <cell r="D1473" t="str">
            <v>Scaffolder</v>
          </cell>
        </row>
        <row r="1474">
          <cell r="A1474" t="str">
            <v>2596099370</v>
          </cell>
          <cell r="B1474" t="str">
            <v>Md Abir</v>
          </cell>
          <cell r="C1474" t="str">
            <v>GLOBAL CASTLES</v>
          </cell>
          <cell r="D1474" t="str">
            <v>Welder</v>
          </cell>
        </row>
        <row r="1475">
          <cell r="A1475" t="str">
            <v>2575602301</v>
          </cell>
          <cell r="B1475" t="str">
            <v>Md Abir Mia</v>
          </cell>
          <cell r="C1475" t="str">
            <v>GLOBAL CASTLES</v>
          </cell>
          <cell r="D1475" t="str">
            <v>Steel Fixer</v>
          </cell>
        </row>
        <row r="1476">
          <cell r="A1476" t="str">
            <v>2541698805</v>
          </cell>
          <cell r="B1476" t="str">
            <v>Md Adresh</v>
          </cell>
          <cell r="C1476" t="str">
            <v>GLOBAL CASTLES</v>
          </cell>
          <cell r="D1476" t="str">
            <v>Labour</v>
          </cell>
        </row>
        <row r="1477">
          <cell r="A1477" t="str">
            <v>2614170559</v>
          </cell>
          <cell r="B1477" t="str">
            <v>Md Ali Hussain</v>
          </cell>
          <cell r="C1477" t="str">
            <v>ELITE HEART</v>
          </cell>
          <cell r="D1477" t="str">
            <v>Labour</v>
          </cell>
        </row>
        <row r="1478">
          <cell r="A1478" t="str">
            <v>2608005118</v>
          </cell>
          <cell r="B1478" t="str">
            <v>Md Angraj Mia</v>
          </cell>
          <cell r="C1478" t="str">
            <v>GLOBAL CASTLES</v>
          </cell>
          <cell r="D1478" t="str">
            <v>Steel Fixer</v>
          </cell>
        </row>
        <row r="1479">
          <cell r="A1479" t="str">
            <v>2582719999</v>
          </cell>
          <cell r="B1479" t="str">
            <v>Md Ariful Islam</v>
          </cell>
          <cell r="C1479" t="str">
            <v>GLOBAL CASTLES</v>
          </cell>
          <cell r="D1479" t="str">
            <v>Electrician</v>
          </cell>
        </row>
        <row r="1480">
          <cell r="A1480" t="str">
            <v>2621281761</v>
          </cell>
          <cell r="B1480" t="str">
            <v>Md Arman</v>
          </cell>
          <cell r="C1480" t="str">
            <v>ALMABANI CONT.</v>
          </cell>
          <cell r="D1480" t="str">
            <v>Steel Fixer</v>
          </cell>
        </row>
        <row r="1481">
          <cell r="A1481" t="str">
            <v>2597626098</v>
          </cell>
          <cell r="B1481" t="str">
            <v>Md Billa</v>
          </cell>
          <cell r="C1481" t="str">
            <v>ELITE HEART</v>
          </cell>
          <cell r="D1481" t="str">
            <v>Labor</v>
          </cell>
        </row>
        <row r="1482">
          <cell r="A1482" t="str">
            <v>2510999994</v>
          </cell>
          <cell r="B1482" t="str">
            <v>Md Chan Mia</v>
          </cell>
          <cell r="C1482" t="str">
            <v>GLOBAL CASTLES</v>
          </cell>
          <cell r="D1482" t="str">
            <v>Electrician</v>
          </cell>
        </row>
        <row r="1483">
          <cell r="A1483" t="str">
            <v>2626450148</v>
          </cell>
          <cell r="B1483" t="str">
            <v>Md Delwar Hossain</v>
          </cell>
          <cell r="C1483" t="str">
            <v>BUILDING ROOTS</v>
          </cell>
          <cell r="D1483" t="str">
            <v>Scaffolder</v>
          </cell>
        </row>
        <row r="1484">
          <cell r="A1484" t="str">
            <v>2602619286</v>
          </cell>
          <cell r="B1484" t="str">
            <v>Md Enamul Hoque</v>
          </cell>
          <cell r="C1484" t="str">
            <v>GLOBAL CASTLES</v>
          </cell>
          <cell r="D1484" t="str">
            <v>Electrician</v>
          </cell>
        </row>
        <row r="1485">
          <cell r="A1485" t="str">
            <v>2468317637</v>
          </cell>
          <cell r="B1485" t="str">
            <v>Md Habibur</v>
          </cell>
          <cell r="C1485" t="str">
            <v>GLOBAL CASTLES</v>
          </cell>
          <cell r="D1485" t="str">
            <v>Labour</v>
          </cell>
        </row>
        <row r="1486">
          <cell r="A1486" t="str">
            <v>2609135781</v>
          </cell>
          <cell r="B1486" t="str">
            <v>Md Habil Mia</v>
          </cell>
          <cell r="C1486" t="str">
            <v>GLOBAL CASTLES</v>
          </cell>
          <cell r="D1486" t="str">
            <v>Carpenter</v>
          </cell>
        </row>
        <row r="1487">
          <cell r="A1487" t="str">
            <v>2585353432</v>
          </cell>
          <cell r="B1487" t="str">
            <v>Md Hanif Mia</v>
          </cell>
          <cell r="C1487" t="str">
            <v>GLOBAL CASTLES</v>
          </cell>
          <cell r="D1487" t="str">
            <v>Carpenter</v>
          </cell>
        </row>
        <row r="1488">
          <cell r="A1488" t="str">
            <v>2620229266</v>
          </cell>
          <cell r="B1488" t="str">
            <v>Md Harizul</v>
          </cell>
          <cell r="C1488" t="str">
            <v>GLOBAL CASTLES</v>
          </cell>
          <cell r="D1488" t="str">
            <v>Carpenter</v>
          </cell>
        </row>
        <row r="1489">
          <cell r="A1489" t="str">
            <v>2624421562</v>
          </cell>
          <cell r="B1489" t="str">
            <v>Md Ismail Hossain</v>
          </cell>
          <cell r="C1489" t="str">
            <v>GLOBAL CASTLES</v>
          </cell>
          <cell r="D1489" t="str">
            <v>Steel Fixer</v>
          </cell>
        </row>
        <row r="1490">
          <cell r="A1490" t="str">
            <v>2616512386</v>
          </cell>
          <cell r="B1490" t="str">
            <v>Md Jasim Uddin</v>
          </cell>
          <cell r="C1490" t="str">
            <v>BUILDING ROOTS</v>
          </cell>
          <cell r="D1490" t="str">
            <v>Scaffolder</v>
          </cell>
        </row>
        <row r="1491">
          <cell r="A1491" t="str">
            <v>2499348478</v>
          </cell>
          <cell r="B1491" t="str">
            <v>Md Junnun</v>
          </cell>
          <cell r="C1491" t="str">
            <v>BUILDING ROOTS</v>
          </cell>
          <cell r="D1491" t="str">
            <v>Scaffolder Foreman</v>
          </cell>
        </row>
        <row r="1492">
          <cell r="A1492" t="str">
            <v>2620228813</v>
          </cell>
          <cell r="B1492" t="str">
            <v>Md Kamal Akon</v>
          </cell>
          <cell r="C1492" t="str">
            <v>GLOBAL CASTLES</v>
          </cell>
          <cell r="D1492" t="str">
            <v>Steel Fixer</v>
          </cell>
        </row>
        <row r="1493">
          <cell r="A1493" t="str">
            <v>2574681538</v>
          </cell>
          <cell r="B1493" t="str">
            <v>Md Khokon</v>
          </cell>
          <cell r="C1493" t="str">
            <v>ELITE HEART</v>
          </cell>
          <cell r="D1493" t="str">
            <v>Labour</v>
          </cell>
        </row>
        <row r="1494">
          <cell r="A1494" t="str">
            <v>2610394203</v>
          </cell>
          <cell r="B1494" t="str">
            <v>Md Litan</v>
          </cell>
          <cell r="C1494" t="str">
            <v>ELITE HEART</v>
          </cell>
          <cell r="D1494" t="str">
            <v>Helper</v>
          </cell>
        </row>
        <row r="1495">
          <cell r="A1495" t="str">
            <v>2583281502</v>
          </cell>
          <cell r="B1495" t="str">
            <v>Md Manik</v>
          </cell>
          <cell r="C1495" t="str">
            <v>GLOBAL CASTLES</v>
          </cell>
          <cell r="D1495" t="str">
            <v>Carpenter</v>
          </cell>
        </row>
        <row r="1496">
          <cell r="A1496" t="str">
            <v>2588266037</v>
          </cell>
          <cell r="B1496" t="str">
            <v>Md Mobarak</v>
          </cell>
          <cell r="C1496" t="str">
            <v>BUILDING ROOTS</v>
          </cell>
          <cell r="D1496" t="str">
            <v>Scaffolder</v>
          </cell>
        </row>
        <row r="1497">
          <cell r="A1497" t="str">
            <v>2612854461</v>
          </cell>
          <cell r="B1497" t="str">
            <v>Md Mohosin</v>
          </cell>
          <cell r="C1497" t="str">
            <v>GLOBAL CASTLES</v>
          </cell>
          <cell r="D1497" t="str">
            <v>Carpenter</v>
          </cell>
        </row>
        <row r="1498">
          <cell r="A1498" t="str">
            <v>2578763928</v>
          </cell>
          <cell r="B1498" t="str">
            <v>Md Musa Barek</v>
          </cell>
          <cell r="C1498" t="str">
            <v>GLOBAL CASTLES</v>
          </cell>
          <cell r="D1498" t="str">
            <v>Steel Fixer</v>
          </cell>
        </row>
        <row r="1499">
          <cell r="A1499" t="str">
            <v>2616613101</v>
          </cell>
          <cell r="B1499" t="str">
            <v>Md Nazrul Islam</v>
          </cell>
          <cell r="C1499" t="str">
            <v>GLOBAL CASTLES</v>
          </cell>
          <cell r="D1499" t="str">
            <v>Carpenter</v>
          </cell>
        </row>
        <row r="1500">
          <cell r="A1500" t="str">
            <v>2620932794</v>
          </cell>
          <cell r="B1500" t="str">
            <v>Md Nurez Alam</v>
          </cell>
          <cell r="C1500" t="str">
            <v>ALMABANI CONT.</v>
          </cell>
          <cell r="D1500" t="str">
            <v>Steel Fixer</v>
          </cell>
        </row>
        <row r="1501">
          <cell r="A1501" t="str">
            <v>2569587443</v>
          </cell>
          <cell r="B1501" t="str">
            <v>Md Nurul Alam</v>
          </cell>
          <cell r="C1501" t="str">
            <v>GLOBAL CASTLES</v>
          </cell>
          <cell r="D1501" t="str">
            <v>Carpenter</v>
          </cell>
        </row>
        <row r="1502">
          <cell r="A1502" t="str">
            <v>2557576614</v>
          </cell>
          <cell r="B1502" t="str">
            <v>Md Rafiqul Islam</v>
          </cell>
          <cell r="C1502" t="str">
            <v>GLOBAL CASTLES</v>
          </cell>
          <cell r="D1502" t="str">
            <v>Steel Fixer</v>
          </cell>
        </row>
        <row r="1503">
          <cell r="A1503" t="str">
            <v>2621281878</v>
          </cell>
          <cell r="B1503" t="str">
            <v>Md Riaz Golam</v>
          </cell>
          <cell r="C1503" t="str">
            <v>ALMABANI CONT.</v>
          </cell>
          <cell r="D1503" t="str">
            <v>Steel Fixer</v>
          </cell>
        </row>
        <row r="1504">
          <cell r="A1504" t="str">
            <v>2570917167</v>
          </cell>
          <cell r="B1504" t="str">
            <v>Md Saifullah</v>
          </cell>
          <cell r="C1504" t="str">
            <v>GLOBAL CASTLES</v>
          </cell>
          <cell r="D1504" t="str">
            <v>Carpenter</v>
          </cell>
        </row>
        <row r="1505">
          <cell r="A1505" t="str">
            <v>2620825345</v>
          </cell>
          <cell r="B1505" t="str">
            <v>Md Shajahan</v>
          </cell>
          <cell r="C1505" t="str">
            <v>BUILDING ROOTS</v>
          </cell>
          <cell r="D1505" t="str">
            <v>Scaffolder</v>
          </cell>
        </row>
        <row r="1506">
          <cell r="A1506" t="str">
            <v>2586890002</v>
          </cell>
          <cell r="B1506" t="str">
            <v>Md Sohag</v>
          </cell>
          <cell r="C1506" t="str">
            <v>GLOBAL CASTLES</v>
          </cell>
          <cell r="D1506" t="str">
            <v>Carpenter</v>
          </cell>
        </row>
        <row r="1507">
          <cell r="A1507" t="str">
            <v>2593580059</v>
          </cell>
          <cell r="B1507" t="str">
            <v>Md Sujid</v>
          </cell>
          <cell r="C1507" t="str">
            <v>ELITE HEART</v>
          </cell>
          <cell r="D1507" t="str">
            <v>Labour</v>
          </cell>
        </row>
        <row r="1508">
          <cell r="A1508" t="str">
            <v>2526254749</v>
          </cell>
          <cell r="B1508" t="str">
            <v>Md Sumon Sardar</v>
          </cell>
          <cell r="C1508" t="str">
            <v>GLOBAL CASTLES</v>
          </cell>
          <cell r="D1508" t="str">
            <v>Electrician</v>
          </cell>
        </row>
        <row r="1509">
          <cell r="A1509" t="str">
            <v>2610515443</v>
          </cell>
          <cell r="B1509" t="str">
            <v>Md Taizul Islam</v>
          </cell>
          <cell r="C1509" t="str">
            <v>GLOBAL CASTLES</v>
          </cell>
          <cell r="D1509" t="str">
            <v>Carpenter</v>
          </cell>
        </row>
        <row r="1510">
          <cell r="A1510" t="str">
            <v>2620803441</v>
          </cell>
          <cell r="B1510" t="str">
            <v>Md Tamim Iqbal</v>
          </cell>
          <cell r="C1510" t="str">
            <v>GLOBAL CASTLES</v>
          </cell>
          <cell r="D1510" t="str">
            <v>Carpenter</v>
          </cell>
        </row>
        <row r="1511">
          <cell r="A1511" t="str">
            <v>2626343392</v>
          </cell>
          <cell r="B1511" t="str">
            <v>Md musa</v>
          </cell>
          <cell r="C1511" t="str">
            <v>GLOBAL CASTLE</v>
          </cell>
          <cell r="D1511" t="str">
            <v>helper</v>
          </cell>
        </row>
        <row r="1512">
          <cell r="A1512" t="str">
            <v>2609428616</v>
          </cell>
          <cell r="B1512" t="str">
            <v>Md sheikh</v>
          </cell>
          <cell r="C1512" t="str">
            <v>ANNAQ</v>
          </cell>
          <cell r="D1512" t="str">
            <v>Helper</v>
          </cell>
        </row>
        <row r="1513">
          <cell r="A1513" t="str">
            <v>2575689373</v>
          </cell>
          <cell r="B1513" t="str">
            <v>Meer Balaj</v>
          </cell>
          <cell r="C1513" t="str">
            <v>SAUDI BAUER</v>
          </cell>
          <cell r="D1513" t="str">
            <v>Qc</v>
          </cell>
        </row>
        <row r="1514">
          <cell r="A1514" t="str">
            <v>2554224879</v>
          </cell>
          <cell r="B1514" t="str">
            <v>Meer danish</v>
          </cell>
          <cell r="C1514" t="str">
            <v>ALMABANI CONT.</v>
          </cell>
          <cell r="D1514" t="str">
            <v>ICT engineer</v>
          </cell>
        </row>
        <row r="1515">
          <cell r="A1515" t="str">
            <v>2569494099</v>
          </cell>
          <cell r="B1515" t="str">
            <v>Mehad Chos</v>
          </cell>
          <cell r="C1515" t="str">
            <v>GLOBAL CASTLES</v>
          </cell>
          <cell r="D1515" t="str">
            <v>Carpenter</v>
          </cell>
        </row>
        <row r="1516">
          <cell r="A1516" t="str">
            <v>2534293390</v>
          </cell>
          <cell r="B1516" t="str">
            <v>Mehadi Hasan</v>
          </cell>
          <cell r="C1516" t="str">
            <v>GLOBAL CASTLES</v>
          </cell>
          <cell r="D1516" t="str">
            <v>Foreman</v>
          </cell>
        </row>
        <row r="1517">
          <cell r="A1517" t="str">
            <v>2556995062</v>
          </cell>
          <cell r="B1517" t="str">
            <v>Mehboob</v>
          </cell>
          <cell r="C1517" t="str">
            <v>BUILDING ROOTS</v>
          </cell>
          <cell r="D1517" t="str">
            <v>Carpenter</v>
          </cell>
        </row>
        <row r="1518">
          <cell r="A1518" t="str">
            <v>2576525535</v>
          </cell>
          <cell r="B1518" t="str">
            <v>Mehedi Hasan</v>
          </cell>
          <cell r="C1518" t="str">
            <v>GLOBAL CASTLES</v>
          </cell>
          <cell r="D1518" t="str">
            <v>Steel Fixer</v>
          </cell>
        </row>
        <row r="1519">
          <cell r="A1519" t="str">
            <v>4718207535</v>
          </cell>
          <cell r="B1519" t="str">
            <v>Mehmood</v>
          </cell>
          <cell r="C1519" t="str">
            <v>GULF MARK</v>
          </cell>
          <cell r="D1519" t="str">
            <v>Foreman</v>
          </cell>
        </row>
        <row r="1520">
          <cell r="A1520" t="str">
            <v>2624833477</v>
          </cell>
          <cell r="B1520" t="str">
            <v>Mehran</v>
          </cell>
          <cell r="C1520" t="str">
            <v>BUILDING ROOTS</v>
          </cell>
          <cell r="D1520" t="str">
            <v>Carpenter</v>
          </cell>
        </row>
        <row r="1521">
          <cell r="A1521" t="str">
            <v>2578201671</v>
          </cell>
          <cell r="B1521" t="str">
            <v>Mejan</v>
          </cell>
          <cell r="C1521" t="str">
            <v>BUILDING ROOTS</v>
          </cell>
          <cell r="D1521" t="str">
            <v>Scaffolder</v>
          </cell>
        </row>
        <row r="1522">
          <cell r="A1522" t="str">
            <v>2403120427</v>
          </cell>
          <cell r="B1522" t="str">
            <v>Meraj Daraz</v>
          </cell>
          <cell r="C1522" t="str">
            <v>ALMABANI CONT.</v>
          </cell>
          <cell r="D1522" t="str">
            <v>Carpenter</v>
          </cell>
        </row>
        <row r="1523">
          <cell r="A1523" t="str">
            <v>2536761626</v>
          </cell>
          <cell r="B1523" t="str">
            <v>Mesfer</v>
          </cell>
          <cell r="C1523" t="str">
            <v>BUILDING ROOTS</v>
          </cell>
          <cell r="D1523" t="str">
            <v>Carpenter</v>
          </cell>
        </row>
        <row r="1524">
          <cell r="A1524" t="str">
            <v>1095466171</v>
          </cell>
          <cell r="B1524" t="str">
            <v>Meshari</v>
          </cell>
          <cell r="C1524" t="str">
            <v>ALMABANI CONT.</v>
          </cell>
          <cell r="D1524" t="str">
            <v>Planning</v>
          </cell>
        </row>
        <row r="1525">
          <cell r="A1525" t="str">
            <v>2621281639</v>
          </cell>
          <cell r="B1525" t="str">
            <v>Mh Anwar Ali</v>
          </cell>
          <cell r="C1525" t="str">
            <v>ALMABANI CONT.</v>
          </cell>
          <cell r="D1525" t="str">
            <v>Steel Fixer</v>
          </cell>
        </row>
        <row r="1526">
          <cell r="A1526" t="str">
            <v>2576723957</v>
          </cell>
          <cell r="B1526" t="str">
            <v>Mh Anwar Khan</v>
          </cell>
          <cell r="C1526" t="str">
            <v>GULF MARK</v>
          </cell>
          <cell r="D1526" t="str">
            <v>Labour</v>
          </cell>
        </row>
        <row r="1527">
          <cell r="A1527" t="str">
            <v>2563286281</v>
          </cell>
          <cell r="B1527" t="str">
            <v>Mh Ishaq</v>
          </cell>
          <cell r="C1527" t="str">
            <v>ELITE HEART</v>
          </cell>
          <cell r="D1527" t="str">
            <v>Store Keeper</v>
          </cell>
        </row>
        <row r="1528">
          <cell r="A1528" t="str">
            <v>2580844724</v>
          </cell>
          <cell r="B1528" t="str">
            <v>Mh Mushtaq Adil</v>
          </cell>
          <cell r="C1528" t="str">
            <v>GLOBAL CASTLES</v>
          </cell>
          <cell r="D1528" t="str">
            <v>Labour</v>
          </cell>
        </row>
        <row r="1529">
          <cell r="A1529" t="str">
            <v>2547070496</v>
          </cell>
          <cell r="B1529" t="str">
            <v>Mh Niaz</v>
          </cell>
          <cell r="C1529" t="str">
            <v>GULF MARK</v>
          </cell>
          <cell r="D1529" t="str">
            <v>Labour</v>
          </cell>
        </row>
        <row r="1530">
          <cell r="A1530" t="str">
            <v>2620932919</v>
          </cell>
          <cell r="B1530" t="str">
            <v>Mh Tagbir</v>
          </cell>
          <cell r="C1530" t="str">
            <v>ALMABANI CONT.</v>
          </cell>
          <cell r="D1530" t="str">
            <v>Steel Fixer</v>
          </cell>
        </row>
        <row r="1531">
          <cell r="A1531" t="str">
            <v>2618835306</v>
          </cell>
          <cell r="B1531" t="str">
            <v>Mh Umair</v>
          </cell>
          <cell r="C1531" t="str">
            <v>BUILDING ROOTS</v>
          </cell>
          <cell r="D1531" t="str">
            <v>Labour</v>
          </cell>
        </row>
        <row r="1532">
          <cell r="A1532" t="str">
            <v>2605517289</v>
          </cell>
          <cell r="B1532" t="str">
            <v>Mia</v>
          </cell>
          <cell r="C1532" t="str">
            <v>ANNAQ</v>
          </cell>
          <cell r="D1532" t="str">
            <v>Helper</v>
          </cell>
        </row>
        <row r="1533">
          <cell r="A1533" t="str">
            <v>2472680616</v>
          </cell>
          <cell r="B1533" t="str">
            <v>Mian Abdul Aziz</v>
          </cell>
          <cell r="C1533" t="str">
            <v>BUILDING ROOTS</v>
          </cell>
          <cell r="D1533" t="str">
            <v>Supervisor</v>
          </cell>
        </row>
        <row r="1534">
          <cell r="A1534" t="str">
            <v>2579235926</v>
          </cell>
          <cell r="B1534" t="str">
            <v>Mian Wasim Ullah</v>
          </cell>
          <cell r="C1534" t="str">
            <v>ELITE HEART</v>
          </cell>
          <cell r="D1534" t="str">
            <v>Labour</v>
          </cell>
        </row>
        <row r="1535">
          <cell r="A1535" t="str">
            <v>3623939919</v>
          </cell>
          <cell r="B1535" t="str">
            <v>Michael Ghosa</v>
          </cell>
          <cell r="C1535" t="str">
            <v>BOUYGUES CONST.</v>
          </cell>
          <cell r="D1535" t="str">
            <v>Mechanical Coordinator</v>
          </cell>
        </row>
        <row r="1536">
          <cell r="A1536" t="str">
            <v>2480984851</v>
          </cell>
          <cell r="B1536" t="str">
            <v>Mijan Ahmed</v>
          </cell>
          <cell r="C1536" t="str">
            <v>ELITE HEART</v>
          </cell>
          <cell r="D1536" t="str">
            <v>Mason</v>
          </cell>
        </row>
        <row r="1537">
          <cell r="A1537" t="str">
            <v>2575209123</v>
          </cell>
          <cell r="B1537" t="str">
            <v>Mijanur</v>
          </cell>
          <cell r="C1537" t="str">
            <v>GLOBAL CASTLES</v>
          </cell>
          <cell r="D1537" t="str">
            <v>Labour</v>
          </cell>
        </row>
        <row r="1538">
          <cell r="A1538" t="str">
            <v>2542639659</v>
          </cell>
          <cell r="B1538" t="str">
            <v>Milon Miah</v>
          </cell>
          <cell r="C1538" t="str">
            <v>JV (BBI-AGC)</v>
          </cell>
          <cell r="D1538" t="str">
            <v>Plumber</v>
          </cell>
        </row>
        <row r="1539">
          <cell r="A1539" t="str">
            <v>2523488514</v>
          </cell>
          <cell r="B1539" t="str">
            <v>Minhaj Uddin</v>
          </cell>
          <cell r="C1539" t="str">
            <v>ALMABANI CONT.</v>
          </cell>
          <cell r="D1539" t="str">
            <v>Electrician</v>
          </cell>
        </row>
        <row r="1540">
          <cell r="A1540" t="str">
            <v>2582745846</v>
          </cell>
          <cell r="B1540" t="str">
            <v>Minkoo mustafa</v>
          </cell>
          <cell r="C1540" t="str">
            <v>Cretec</v>
          </cell>
          <cell r="D1540" t="str">
            <v>labor</v>
          </cell>
        </row>
        <row r="1541">
          <cell r="A1541" t="str">
            <v>2610266047</v>
          </cell>
          <cell r="B1541" t="str">
            <v>Mir Dad Kamin</v>
          </cell>
          <cell r="C1541" t="str">
            <v>GLOBAL CASTLES</v>
          </cell>
          <cell r="D1541" t="str">
            <v>Steel Fixer</v>
          </cell>
        </row>
        <row r="1542">
          <cell r="A1542" t="str">
            <v>2621481197</v>
          </cell>
          <cell r="B1542" t="str">
            <v>Miraj</v>
          </cell>
          <cell r="C1542" t="str">
            <v>SAUDI BAUER</v>
          </cell>
          <cell r="D1542" t="str">
            <v>Helper</v>
          </cell>
        </row>
        <row r="1543">
          <cell r="A1543" t="str">
            <v>2557447642</v>
          </cell>
          <cell r="B1543" t="str">
            <v>Miraz</v>
          </cell>
          <cell r="C1543" t="str">
            <v>SAUDI BAUER</v>
          </cell>
          <cell r="D1543" t="str">
            <v>Welder</v>
          </cell>
        </row>
        <row r="1544">
          <cell r="A1544" t="str">
            <v>2532729320</v>
          </cell>
          <cell r="B1544" t="str">
            <v>Mirza</v>
          </cell>
          <cell r="C1544" t="str">
            <v>GLOBAL CASTLES</v>
          </cell>
          <cell r="D1544" t="str">
            <v>Plumber</v>
          </cell>
        </row>
        <row r="1545">
          <cell r="A1545" t="str">
            <v>2513030557</v>
          </cell>
          <cell r="B1545" t="str">
            <v>Mirza Ramzan</v>
          </cell>
          <cell r="C1545" t="str">
            <v>ELITE HEART</v>
          </cell>
          <cell r="D1545" t="str">
            <v>Labour</v>
          </cell>
        </row>
        <row r="1546">
          <cell r="A1546" t="str">
            <v>2340369590</v>
          </cell>
          <cell r="B1546" t="str">
            <v>Mirza Shahanawaz Baig</v>
          </cell>
          <cell r="C1546" t="str">
            <v>BOUYGUES CONST.</v>
          </cell>
          <cell r="D1546" t="str">
            <v>Quantity Surveyor</v>
          </cell>
        </row>
        <row r="1547">
          <cell r="A1547" t="str">
            <v>2525018103</v>
          </cell>
          <cell r="B1547" t="str">
            <v>Mirza dilwar</v>
          </cell>
          <cell r="C1547" t="str">
            <v>UNITED GULF</v>
          </cell>
          <cell r="D1547" t="str">
            <v>Electrician</v>
          </cell>
        </row>
        <row r="1548">
          <cell r="A1548" t="str">
            <v>2524884893</v>
          </cell>
          <cell r="B1548" t="str">
            <v>MoHSEn</v>
          </cell>
          <cell r="C1548" t="str">
            <v>BUILDING ROOTS</v>
          </cell>
          <cell r="D1548" t="str">
            <v>Driver</v>
          </cell>
        </row>
        <row r="1549">
          <cell r="A1549" t="str">
            <v>1122055617</v>
          </cell>
          <cell r="B1549" t="str">
            <v>MoHSEn Khawaji</v>
          </cell>
          <cell r="C1549" t="str">
            <v>BUILDING ROOTS</v>
          </cell>
          <cell r="D1549" t="str">
            <v>Site Engineer</v>
          </cell>
        </row>
        <row r="1550">
          <cell r="A1550" t="str">
            <v>2604823803</v>
          </cell>
          <cell r="B1550" t="str">
            <v>Moath hamid</v>
          </cell>
          <cell r="C1550" t="str">
            <v>BUILDING ROOTS</v>
          </cell>
          <cell r="D1550" t="str">
            <v>Carpenter</v>
          </cell>
        </row>
        <row r="1551">
          <cell r="A1551" t="str">
            <v>2208238911</v>
          </cell>
          <cell r="B1551" t="str">
            <v>Mobarak</v>
          </cell>
          <cell r="C1551" t="str">
            <v>BUILDING ROOTS</v>
          </cell>
          <cell r="D1551" t="str">
            <v>Mechanical Team</v>
          </cell>
        </row>
        <row r="1552">
          <cell r="A1552" t="str">
            <v>2485784868</v>
          </cell>
          <cell r="B1552" t="str">
            <v>Mobarak Hasan Ali</v>
          </cell>
          <cell r="C1552" t="str">
            <v>BUILDING ROOTS</v>
          </cell>
          <cell r="D1552" t="str">
            <v>Scaffolder</v>
          </cell>
        </row>
        <row r="1553">
          <cell r="A1553" t="str">
            <v>2605262647</v>
          </cell>
          <cell r="B1553" t="str">
            <v>Mobarak Hossain</v>
          </cell>
          <cell r="C1553" t="str">
            <v>BUILDING ROOTS</v>
          </cell>
          <cell r="D1553" t="str">
            <v>Scaffolder</v>
          </cell>
        </row>
        <row r="1554">
          <cell r="A1554" t="str">
            <v>2521788618</v>
          </cell>
          <cell r="B1554" t="str">
            <v>Mohamad Alamin</v>
          </cell>
          <cell r="C1554" t="str">
            <v>GLOBAL CASTLES</v>
          </cell>
          <cell r="D1554" t="str">
            <v>Rigger - Iii</v>
          </cell>
        </row>
        <row r="1555">
          <cell r="A1555" t="str">
            <v>255278836</v>
          </cell>
          <cell r="B1555" t="str">
            <v>Mohamed</v>
          </cell>
          <cell r="C1555" t="str">
            <v>PRAINSA</v>
          </cell>
          <cell r="D1555" t="str">
            <v>Driver</v>
          </cell>
        </row>
        <row r="1556">
          <cell r="A1556" t="str">
            <v>1089275083</v>
          </cell>
          <cell r="B1556" t="str">
            <v>Mohamed Alnuzaihl</v>
          </cell>
          <cell r="C1556" t="str">
            <v>BOUYGUES CONST.</v>
          </cell>
          <cell r="D1556" t="str">
            <v>QA / QC Engineer</v>
          </cell>
        </row>
        <row r="1557">
          <cell r="A1557" t="str">
            <v>2543527523</v>
          </cell>
          <cell r="B1557" t="str">
            <v>Mohamed Elkajoumi</v>
          </cell>
          <cell r="C1557" t="str">
            <v>QIDDIYA</v>
          </cell>
          <cell r="D1557" t="str">
            <v>Director</v>
          </cell>
        </row>
        <row r="1558">
          <cell r="A1558" t="str">
            <v>2483303984</v>
          </cell>
          <cell r="B1558" t="str">
            <v>Mohamed Sayed</v>
          </cell>
          <cell r="C1558" t="str">
            <v>ALMABANI CONT.</v>
          </cell>
          <cell r="D1558" t="str">
            <v>Elec Lead</v>
          </cell>
        </row>
        <row r="1559">
          <cell r="A1559" t="str">
            <v>2538343159</v>
          </cell>
          <cell r="B1559" t="str">
            <v>Mohamed jazeem</v>
          </cell>
          <cell r="C1559" t="str">
            <v>JV (BBI-AGC)</v>
          </cell>
          <cell r="D1559" t="str">
            <v>QS</v>
          </cell>
        </row>
        <row r="1560">
          <cell r="A1560" t="str">
            <v>2450487943</v>
          </cell>
          <cell r="B1560" t="str">
            <v>Mohammad Amin</v>
          </cell>
          <cell r="C1560" t="str">
            <v>BUILDING ROOTS</v>
          </cell>
          <cell r="D1560" t="str">
            <v>Carpenter</v>
          </cell>
        </row>
        <row r="1561">
          <cell r="A1561" t="str">
            <v>2404160216</v>
          </cell>
          <cell r="B1561" t="str">
            <v>Mohammad Ayaz Ahmad</v>
          </cell>
          <cell r="C1561" t="str">
            <v>ALMABANI CONT.</v>
          </cell>
          <cell r="D1561" t="str">
            <v>Surveyor</v>
          </cell>
        </row>
        <row r="1562">
          <cell r="A1562" t="str">
            <v>2613910997</v>
          </cell>
          <cell r="B1562" t="str">
            <v>Mohammad Jasim</v>
          </cell>
          <cell r="C1562" t="str">
            <v>ELITE HEART</v>
          </cell>
          <cell r="D1562" t="str">
            <v>Mason</v>
          </cell>
        </row>
        <row r="1563">
          <cell r="A1563" t="str">
            <v>2620507554</v>
          </cell>
          <cell r="B1563" t="str">
            <v>Mohammad Monir Mia</v>
          </cell>
          <cell r="C1563" t="str">
            <v>GLOBAL CASTLES</v>
          </cell>
          <cell r="D1563" t="str">
            <v>Steel Fixer</v>
          </cell>
        </row>
        <row r="1564">
          <cell r="A1564" t="str">
            <v>2599419765</v>
          </cell>
          <cell r="B1564" t="str">
            <v>Mohammad Pawaz</v>
          </cell>
          <cell r="C1564" t="str">
            <v>BUILDING ROOTS</v>
          </cell>
          <cell r="D1564" t="str">
            <v>Steel Fixer</v>
          </cell>
        </row>
        <row r="1565">
          <cell r="A1565" t="str">
            <v>2527739466</v>
          </cell>
          <cell r="B1565" t="str">
            <v>Mohammad Sabban</v>
          </cell>
          <cell r="C1565" t="str">
            <v>ALMABANI CONT.</v>
          </cell>
          <cell r="D1565" t="str">
            <v>Senior Architect</v>
          </cell>
        </row>
        <row r="1566">
          <cell r="A1566" t="str">
            <v>1113875221</v>
          </cell>
          <cell r="B1566" t="str">
            <v>Mohammad Sad Alfaqir</v>
          </cell>
          <cell r="C1566" t="str">
            <v>BOUYGUES CONST.</v>
          </cell>
          <cell r="D1566" t="str">
            <v>Civil Engineer</v>
          </cell>
        </row>
        <row r="1567">
          <cell r="A1567" t="str">
            <v>2510338870</v>
          </cell>
          <cell r="B1567" t="str">
            <v>Mohammad Sibgath Ullah</v>
          </cell>
          <cell r="C1567" t="str">
            <v>ELITE HEART</v>
          </cell>
          <cell r="D1567" t="str">
            <v>Construction Manager</v>
          </cell>
        </row>
        <row r="1568">
          <cell r="A1568" t="str">
            <v>2597985510</v>
          </cell>
          <cell r="B1568" t="str">
            <v>Mohammad Sifat</v>
          </cell>
          <cell r="C1568" t="str">
            <v>BUILDING ROOTS</v>
          </cell>
          <cell r="D1568" t="str">
            <v>Scaffolder</v>
          </cell>
        </row>
        <row r="1569">
          <cell r="A1569" t="str">
            <v>2554738076</v>
          </cell>
          <cell r="B1569" t="str">
            <v>Mohammad abdul</v>
          </cell>
          <cell r="C1569" t="str">
            <v>BUILDING ROOTS</v>
          </cell>
          <cell r="D1569" t="str">
            <v>Carpenter</v>
          </cell>
        </row>
        <row r="1570">
          <cell r="A1570" t="str">
            <v>2555418793</v>
          </cell>
          <cell r="B1570" t="str">
            <v>Mohammad mustafa</v>
          </cell>
          <cell r="C1570" t="str">
            <v>BUILDING ROOTS</v>
          </cell>
          <cell r="D1570" t="str">
            <v>foreman</v>
          </cell>
        </row>
        <row r="1571">
          <cell r="A1571" t="str">
            <v>2605309828</v>
          </cell>
          <cell r="B1571" t="str">
            <v>Mohammed</v>
          </cell>
          <cell r="C1571" t="str">
            <v>ELITE HEART</v>
          </cell>
          <cell r="D1571" t="str">
            <v>Labour</v>
          </cell>
        </row>
        <row r="1572">
          <cell r="A1572" t="str">
            <v>2563546387</v>
          </cell>
          <cell r="B1572" t="str">
            <v>Mohammed  Saiful Islam</v>
          </cell>
          <cell r="C1572" t="str">
            <v>BUILDING ROOTS</v>
          </cell>
          <cell r="D1572" t="str">
            <v>Scaffolder</v>
          </cell>
        </row>
        <row r="1573">
          <cell r="A1573" t="str">
            <v>2533239634</v>
          </cell>
          <cell r="B1573" t="str">
            <v>Mohammed Abduljalil</v>
          </cell>
          <cell r="C1573" t="str">
            <v>BUILDING ROOTS</v>
          </cell>
          <cell r="D1573" t="str">
            <v>Carpenter</v>
          </cell>
        </row>
        <row r="1574">
          <cell r="A1574" t="str">
            <v>2519860379</v>
          </cell>
          <cell r="B1574" t="str">
            <v>Mohammed Abdullah</v>
          </cell>
          <cell r="C1574" t="str">
            <v>BUILDING ROOTS</v>
          </cell>
          <cell r="D1574" t="str">
            <v>Carpenter</v>
          </cell>
        </row>
        <row r="1575">
          <cell r="A1575" t="str">
            <v>2536197516</v>
          </cell>
          <cell r="B1575" t="str">
            <v>Mohammed Adil</v>
          </cell>
          <cell r="C1575" t="str">
            <v>ZAMIL STEEL</v>
          </cell>
          <cell r="D1575" t="str">
            <v>Document Controller</v>
          </cell>
        </row>
        <row r="1576">
          <cell r="A1576" t="str">
            <v>2623335557</v>
          </cell>
          <cell r="B1576" t="str">
            <v>Mohammed Ahmed</v>
          </cell>
          <cell r="C1576" t="str">
            <v>BUILDING ROOTS</v>
          </cell>
          <cell r="D1576" t="str">
            <v>Carpenter</v>
          </cell>
        </row>
        <row r="1577">
          <cell r="A1577" t="str">
            <v>2509941031</v>
          </cell>
          <cell r="B1577" t="str">
            <v>Mohammed Ali</v>
          </cell>
          <cell r="C1577" t="str">
            <v>JV (BBI-AGC)</v>
          </cell>
          <cell r="D1577" t="str">
            <v>Qa/Qc</v>
          </cell>
        </row>
        <row r="1578">
          <cell r="A1578" t="str">
            <v>2600735787</v>
          </cell>
          <cell r="B1578" t="str">
            <v>Mohammed Ali Saleem</v>
          </cell>
          <cell r="C1578" t="str">
            <v>GULF MARK</v>
          </cell>
          <cell r="D1578" t="str">
            <v>Surveyor</v>
          </cell>
        </row>
        <row r="1579">
          <cell r="A1579" t="str">
            <v>1137694871</v>
          </cell>
          <cell r="B1579" t="str">
            <v>Mohammed Alqahtani</v>
          </cell>
          <cell r="C1579" t="str">
            <v>AL JOHARAH</v>
          </cell>
          <cell r="D1579" t="str">
            <v>Associate</v>
          </cell>
        </row>
        <row r="1580">
          <cell r="A1580" t="str">
            <v>113432102</v>
          </cell>
          <cell r="B1580" t="str">
            <v>Mohammed Alqahtani</v>
          </cell>
          <cell r="C1580" t="str">
            <v>AL JOHARAH</v>
          </cell>
          <cell r="D1580" t="str">
            <v>Security Officer</v>
          </cell>
        </row>
        <row r="1581">
          <cell r="A1581" t="str">
            <v>2536693811</v>
          </cell>
          <cell r="B1581" t="str">
            <v>Mohammed Behairy</v>
          </cell>
          <cell r="C1581" t="str">
            <v>ARABIAN TOWER</v>
          </cell>
          <cell r="D1581" t="str">
            <v>Electrical Engineer</v>
          </cell>
        </row>
        <row r="1582">
          <cell r="A1582" t="str">
            <v>2367948573</v>
          </cell>
          <cell r="B1582" t="str">
            <v>Mohammed Dalvod</v>
          </cell>
          <cell r="C1582" t="str">
            <v>ELITE HEART</v>
          </cell>
          <cell r="D1582" t="str">
            <v>Driver</v>
          </cell>
        </row>
        <row r="1583">
          <cell r="A1583" t="str">
            <v>1098150343</v>
          </cell>
          <cell r="B1583" t="str">
            <v>Mohammed Farai</v>
          </cell>
          <cell r="C1583" t="str">
            <v>BUILDING ROOTS</v>
          </cell>
          <cell r="D1583" t="str">
            <v>Manager</v>
          </cell>
        </row>
        <row r="1584">
          <cell r="A1584" t="str">
            <v>2586942936</v>
          </cell>
          <cell r="B1584" t="str">
            <v>Mohammed Gamal</v>
          </cell>
          <cell r="C1584" t="str">
            <v>BUILDING ROOTS</v>
          </cell>
          <cell r="D1584" t="str">
            <v>Engineer</v>
          </cell>
        </row>
        <row r="1585">
          <cell r="A1585" t="str">
            <v>1107271361</v>
          </cell>
          <cell r="B1585" t="str">
            <v>Mohammed Hazazi</v>
          </cell>
          <cell r="C1585" t="str">
            <v>APPLUS ARABIA</v>
          </cell>
          <cell r="D1585" t="str">
            <v>HSE Engineer</v>
          </cell>
        </row>
        <row r="1586">
          <cell r="A1586" t="str">
            <v>2530258991</v>
          </cell>
          <cell r="B1586" t="str">
            <v>Mohammed Mustafa</v>
          </cell>
          <cell r="C1586" t="str">
            <v>SAUDI BAUER</v>
          </cell>
          <cell r="D1586" t="str">
            <v>Helper</v>
          </cell>
        </row>
        <row r="1587">
          <cell r="A1587" t="str">
            <v>2575912429</v>
          </cell>
          <cell r="B1587" t="str">
            <v>Mohammed Naseer</v>
          </cell>
          <cell r="C1587" t="str">
            <v>BUILDING ROOTS</v>
          </cell>
          <cell r="D1587" t="str">
            <v>Roller Compactor</v>
          </cell>
        </row>
        <row r="1588">
          <cell r="A1588" t="str">
            <v>2462103053</v>
          </cell>
          <cell r="B1588" t="str">
            <v>Mohammed Qaid</v>
          </cell>
          <cell r="C1588" t="str">
            <v>ELITE HEART</v>
          </cell>
          <cell r="D1588" t="str">
            <v>Labour</v>
          </cell>
        </row>
        <row r="1589">
          <cell r="A1589" t="str">
            <v>2391385917</v>
          </cell>
          <cell r="B1589" t="str">
            <v>Mohammed Shabbir Ali</v>
          </cell>
          <cell r="C1589" t="str">
            <v>BOUYGUES CONST.</v>
          </cell>
          <cell r="D1589" t="str">
            <v>Sr. Contracts Administrator</v>
          </cell>
        </row>
        <row r="1590">
          <cell r="A1590" t="str">
            <v>2618800672</v>
          </cell>
          <cell r="B1590" t="str">
            <v>Mohammed Shafan</v>
          </cell>
          <cell r="C1590" t="str">
            <v>ELITE HEART</v>
          </cell>
          <cell r="D1590" t="str">
            <v>Labour</v>
          </cell>
        </row>
        <row r="1591">
          <cell r="A1591" t="str">
            <v>2535120345</v>
          </cell>
          <cell r="B1591" t="str">
            <v>Mohammed Taha</v>
          </cell>
          <cell r="C1591" t="str">
            <v>BUILDING ROOTS</v>
          </cell>
          <cell r="D1591" t="str">
            <v>Construction Manager</v>
          </cell>
        </row>
        <row r="1592">
          <cell r="A1592" t="str">
            <v>2605544242</v>
          </cell>
          <cell r="B1592" t="str">
            <v>Mohammed Tareg</v>
          </cell>
          <cell r="C1592" t="str">
            <v>BUILDING ROOTS</v>
          </cell>
          <cell r="D1592" t="str">
            <v>Dc</v>
          </cell>
        </row>
        <row r="1593">
          <cell r="A1593" t="str">
            <v>2593257690</v>
          </cell>
          <cell r="B1593" t="str">
            <v>Mohammed Valith</v>
          </cell>
          <cell r="C1593" t="str">
            <v>AMAL AL-MUSTAQBAL</v>
          </cell>
          <cell r="D1593" t="str">
            <v>Fabrication &amp; Installation</v>
          </cell>
        </row>
        <row r="1594">
          <cell r="A1594" t="str">
            <v>2386925727</v>
          </cell>
          <cell r="B1594" t="str">
            <v>Mohammed Waseem</v>
          </cell>
          <cell r="C1594" t="str">
            <v>SAUDI BAUER</v>
          </cell>
          <cell r="D1594" t="str">
            <v>Crawler Crane Operator</v>
          </cell>
        </row>
        <row r="1595">
          <cell r="A1595" t="str">
            <v>2565126626</v>
          </cell>
          <cell r="B1595" t="str">
            <v>Mohammed ali</v>
          </cell>
          <cell r="C1595" t="str">
            <v>AL MUMAYAZ</v>
          </cell>
          <cell r="D1595" t="str">
            <v>surveyor</v>
          </cell>
        </row>
        <row r="1596">
          <cell r="A1596" t="str">
            <v>2600737587</v>
          </cell>
          <cell r="B1596" t="str">
            <v>Mohammed ali eleem</v>
          </cell>
          <cell r="C1596" t="str">
            <v>ANNAQ</v>
          </cell>
          <cell r="D1596" t="str">
            <v>surveyor</v>
          </cell>
        </row>
        <row r="1597">
          <cell r="A1597" t="str">
            <v>2588615373</v>
          </cell>
          <cell r="B1597" t="str">
            <v>Mohd Aulad Hossain</v>
          </cell>
          <cell r="C1597" t="str">
            <v>GLOBAL CASTLES</v>
          </cell>
          <cell r="D1597" t="str">
            <v>Steel Fixer</v>
          </cell>
        </row>
        <row r="1598">
          <cell r="A1598" t="str">
            <v>2513668224</v>
          </cell>
          <cell r="B1598" t="str">
            <v>Mohmoud Fathi</v>
          </cell>
          <cell r="C1598" t="str">
            <v>BUILDING ROOTS</v>
          </cell>
          <cell r="D1598" t="str">
            <v>Surveyor Helper</v>
          </cell>
        </row>
        <row r="1599">
          <cell r="A1599" t="str">
            <v>2565106032</v>
          </cell>
          <cell r="B1599" t="str">
            <v>Mohsin Ali</v>
          </cell>
          <cell r="C1599" t="str">
            <v>BUILDING ROOTS</v>
          </cell>
          <cell r="D1599" t="str">
            <v>Steel Fixer</v>
          </cell>
        </row>
        <row r="1600">
          <cell r="A1600" t="str">
            <v>2619859826</v>
          </cell>
          <cell r="B1600" t="str">
            <v>Mohsin Shahzad</v>
          </cell>
          <cell r="C1600" t="str">
            <v>ELITE HEART</v>
          </cell>
          <cell r="D1600" t="str">
            <v>Steel Fixer</v>
          </cell>
        </row>
        <row r="1601">
          <cell r="A1601" t="str">
            <v>2609212218</v>
          </cell>
          <cell r="B1601" t="str">
            <v>Mohtaseer Taher</v>
          </cell>
          <cell r="C1601" t="str">
            <v>BUILDING ROOTS</v>
          </cell>
          <cell r="D1601" t="str">
            <v>Carpenter</v>
          </cell>
        </row>
        <row r="1602">
          <cell r="A1602" t="str">
            <v>2579795648</v>
          </cell>
          <cell r="B1602" t="str">
            <v>Mokhtar</v>
          </cell>
          <cell r="C1602" t="str">
            <v>BUILDING ROOTS</v>
          </cell>
          <cell r="D1602" t="str">
            <v>Carpenter</v>
          </cell>
        </row>
        <row r="1603">
          <cell r="A1603" t="str">
            <v>2324506758</v>
          </cell>
          <cell r="B1603" t="str">
            <v>Mokhtar Abdullah</v>
          </cell>
          <cell r="C1603" t="str">
            <v>BUILDING ROOTS</v>
          </cell>
          <cell r="D1603" t="str">
            <v>Supervisor</v>
          </cell>
        </row>
        <row r="1604">
          <cell r="A1604" t="str">
            <v>2629676145</v>
          </cell>
          <cell r="B1604" t="str">
            <v>Molla</v>
          </cell>
          <cell r="C1604" t="str">
            <v>ANNAQ</v>
          </cell>
          <cell r="D1604" t="str">
            <v>Helper</v>
          </cell>
        </row>
        <row r="1605">
          <cell r="A1605" t="str">
            <v>2592084095</v>
          </cell>
          <cell r="B1605" t="str">
            <v>Momin Khan</v>
          </cell>
          <cell r="C1605" t="str">
            <v>BUILDING ROOTS</v>
          </cell>
          <cell r="D1605" t="str">
            <v>Carpenter</v>
          </cell>
        </row>
        <row r="1606">
          <cell r="A1606" t="str">
            <v>2617782517</v>
          </cell>
          <cell r="B1606" t="str">
            <v>Momin Khan</v>
          </cell>
          <cell r="C1606" t="str">
            <v>ELITE HEART</v>
          </cell>
          <cell r="D1606" t="str">
            <v>Carpenter</v>
          </cell>
        </row>
        <row r="1607">
          <cell r="A1607" t="str">
            <v>2620824777</v>
          </cell>
          <cell r="B1607" t="str">
            <v>Monchur Ahmed</v>
          </cell>
          <cell r="C1607" t="str">
            <v>ELITE HEART</v>
          </cell>
          <cell r="D1607" t="str">
            <v>Helper</v>
          </cell>
        </row>
        <row r="1608">
          <cell r="A1608" t="str">
            <v>2626866918</v>
          </cell>
          <cell r="B1608" t="str">
            <v>Monica Pesconi</v>
          </cell>
          <cell r="C1608" t="str">
            <v>MACE</v>
          </cell>
          <cell r="D1608" t="str">
            <v>Project Director</v>
          </cell>
        </row>
        <row r="1609">
          <cell r="A1609" t="str">
            <v>2627881580</v>
          </cell>
          <cell r="B1609" t="str">
            <v>Monika Miedlarz</v>
          </cell>
          <cell r="C1609" t="str">
            <v>BOUYGUES CONST.</v>
          </cell>
          <cell r="D1609" t="str">
            <v>Cost Control Manager</v>
          </cell>
        </row>
        <row r="1610">
          <cell r="A1610" t="str">
            <v>2625386723</v>
          </cell>
          <cell r="B1610" t="str">
            <v>Monir</v>
          </cell>
          <cell r="C1610" t="str">
            <v>ANNAQ</v>
          </cell>
          <cell r="D1610" t="str">
            <v>Labor</v>
          </cell>
        </row>
        <row r="1611">
          <cell r="A1611" t="str">
            <v>2570626651</v>
          </cell>
          <cell r="B1611" t="str">
            <v>Monir</v>
          </cell>
          <cell r="C1611" t="str">
            <v>GLOBAL CASTLE</v>
          </cell>
          <cell r="D1611" t="str">
            <v>foreman</v>
          </cell>
        </row>
        <row r="1612">
          <cell r="A1612" t="str">
            <v>2595863933</v>
          </cell>
          <cell r="B1612" t="str">
            <v>Morseed Khan</v>
          </cell>
          <cell r="C1612" t="str">
            <v>BUILDING ROOTS</v>
          </cell>
          <cell r="D1612" t="str">
            <v>Steel Fixer</v>
          </cell>
        </row>
        <row r="1613">
          <cell r="A1613" t="str">
            <v>2438982858</v>
          </cell>
          <cell r="B1613" t="str">
            <v>Mosaad</v>
          </cell>
          <cell r="C1613" t="str">
            <v>JV (BBI-AGC)</v>
          </cell>
          <cell r="D1613" t="str">
            <v>Surveyor</v>
          </cell>
        </row>
        <row r="1614">
          <cell r="A1614" t="str">
            <v>2501875302</v>
          </cell>
          <cell r="B1614" t="str">
            <v>Mosarof</v>
          </cell>
          <cell r="C1614" t="str">
            <v>ELITE HEART</v>
          </cell>
          <cell r="D1614" t="str">
            <v>Electrician</v>
          </cell>
        </row>
        <row r="1615">
          <cell r="A1615" t="str">
            <v>2543647628</v>
          </cell>
          <cell r="B1615" t="str">
            <v>Mosharaf Hossain</v>
          </cell>
          <cell r="C1615" t="str">
            <v>TAMIMI</v>
          </cell>
          <cell r="D1615" t="str">
            <v>Painter</v>
          </cell>
        </row>
        <row r="1616">
          <cell r="A1616" t="str">
            <v>2619150069</v>
          </cell>
          <cell r="B1616" t="str">
            <v>Mosharof</v>
          </cell>
          <cell r="C1616" t="str">
            <v>BUILDING ROOTS</v>
          </cell>
          <cell r="D1616" t="str">
            <v>Scaffolder</v>
          </cell>
        </row>
        <row r="1617">
          <cell r="A1617" t="str">
            <v>2252261824</v>
          </cell>
          <cell r="B1617" t="str">
            <v>Mossad Fahim</v>
          </cell>
          <cell r="C1617" t="str">
            <v>ELITE HEART</v>
          </cell>
          <cell r="D1617" t="str">
            <v>Labour</v>
          </cell>
        </row>
        <row r="1618">
          <cell r="A1618" t="str">
            <v>2585578202</v>
          </cell>
          <cell r="B1618" t="str">
            <v>Mostufa Elawady</v>
          </cell>
          <cell r="C1618" t="str">
            <v>POPULOUS</v>
          </cell>
          <cell r="D1618" t="str">
            <v>Document Controller</v>
          </cell>
        </row>
        <row r="1619">
          <cell r="A1619" t="str">
            <v>2230998433</v>
          </cell>
          <cell r="B1619" t="str">
            <v>Mousa</v>
          </cell>
          <cell r="C1619" t="str">
            <v>ALMABANI CONT.</v>
          </cell>
          <cell r="D1619" t="str">
            <v>Supervisor</v>
          </cell>
        </row>
        <row r="1620">
          <cell r="A1620" t="str">
            <v>2264907664</v>
          </cell>
          <cell r="B1620" t="str">
            <v>Moussa hamdan</v>
          </cell>
          <cell r="C1620" t="str">
            <v>ALMABANI CONT.</v>
          </cell>
          <cell r="D1620" t="str">
            <v>Foreman carpenter</v>
          </cell>
        </row>
        <row r="1621">
          <cell r="A1621" t="str">
            <v>2358819445</v>
          </cell>
          <cell r="B1621" t="str">
            <v>Moustafa Mosbeh</v>
          </cell>
          <cell r="C1621" t="str">
            <v>BUILDING ROOTS</v>
          </cell>
          <cell r="D1621" t="str">
            <v>Foreman</v>
          </cell>
        </row>
        <row r="1622">
          <cell r="A1622" t="str">
            <v>2337125195</v>
          </cell>
          <cell r="B1622" t="str">
            <v>Mozib Alam</v>
          </cell>
          <cell r="C1622" t="str">
            <v>SAUDI BAUER</v>
          </cell>
          <cell r="D1622" t="str">
            <v>Crane Operator</v>
          </cell>
        </row>
        <row r="1623">
          <cell r="A1623" t="str">
            <v>2604462842</v>
          </cell>
          <cell r="B1623" t="str">
            <v>Mr. Ahamed Razan</v>
          </cell>
          <cell r="C1623" t="str">
            <v>GLOBAL CASTLES</v>
          </cell>
          <cell r="D1623" t="str">
            <v>Quality Surveyor</v>
          </cell>
        </row>
        <row r="1624">
          <cell r="A1624" t="str">
            <v>2580845242</v>
          </cell>
          <cell r="B1624" t="str">
            <v>Mua Amar Asadi</v>
          </cell>
          <cell r="C1624" t="str">
            <v>AL AZANI</v>
          </cell>
          <cell r="D1624" t="str">
            <v>Boom Truck Operator</v>
          </cell>
        </row>
        <row r="1625">
          <cell r="A1625" t="str">
            <v>2363533015</v>
          </cell>
          <cell r="B1625" t="str">
            <v>Muaid Mahyoub</v>
          </cell>
          <cell r="C1625" t="str">
            <v>BUILDING ROOTS</v>
          </cell>
          <cell r="D1625" t="str">
            <v>Store Keeper</v>
          </cell>
        </row>
        <row r="1626">
          <cell r="A1626" t="str">
            <v>2397868286</v>
          </cell>
          <cell r="B1626" t="str">
            <v>Muam Abbas</v>
          </cell>
          <cell r="C1626" t="str">
            <v>GLOBAL CASTLES</v>
          </cell>
          <cell r="D1626" t="str">
            <v>Carpenter</v>
          </cell>
        </row>
        <row r="1627">
          <cell r="A1627" t="str">
            <v>2450018474</v>
          </cell>
          <cell r="B1627" t="str">
            <v>Muath Abdo Saeed</v>
          </cell>
          <cell r="C1627" t="str">
            <v>BUILDING ROOTS</v>
          </cell>
          <cell r="D1627" t="str">
            <v>Carpenter</v>
          </cell>
        </row>
        <row r="1628">
          <cell r="A1628" t="str">
            <v>1105271785</v>
          </cell>
          <cell r="B1628" t="str">
            <v>Muath Alharbi</v>
          </cell>
          <cell r="C1628" t="str">
            <v>JV (BBI-AGC)</v>
          </cell>
          <cell r="D1628" t="str">
            <v>Site Engineer</v>
          </cell>
        </row>
        <row r="1629">
          <cell r="A1629" t="str">
            <v>2359712342</v>
          </cell>
          <cell r="B1629" t="str">
            <v>Mubarak Ghaleb</v>
          </cell>
          <cell r="C1629" t="str">
            <v>BUILDING ROOTS</v>
          </cell>
          <cell r="D1629" t="str">
            <v>Carpenter</v>
          </cell>
        </row>
        <row r="1630">
          <cell r="A1630" t="str">
            <v>2499402689</v>
          </cell>
          <cell r="B1630" t="str">
            <v>Mubarak Hasan</v>
          </cell>
          <cell r="C1630" t="str">
            <v>ELITE HEART</v>
          </cell>
          <cell r="D1630" t="str">
            <v>Scaffolder</v>
          </cell>
        </row>
        <row r="1631">
          <cell r="A1631" t="str">
            <v>2300748189</v>
          </cell>
          <cell r="B1631" t="str">
            <v>Mubashar Faruqi</v>
          </cell>
          <cell r="C1631" t="str">
            <v>SAUDI BAUER</v>
          </cell>
          <cell r="D1631" t="str">
            <v>Bg Operator</v>
          </cell>
        </row>
        <row r="1632">
          <cell r="A1632" t="str">
            <v>6160185070</v>
          </cell>
          <cell r="B1632" t="str">
            <v>Mubashir Ali</v>
          </cell>
          <cell r="C1632" t="str">
            <v>ELITE HEART</v>
          </cell>
          <cell r="D1632" t="str">
            <v>Steel Fixer</v>
          </cell>
        </row>
        <row r="1633">
          <cell r="A1633" t="str">
            <v>2617717711</v>
          </cell>
          <cell r="B1633" t="str">
            <v>Mubshir</v>
          </cell>
          <cell r="C1633" t="str">
            <v>BUILDING ROOTS</v>
          </cell>
          <cell r="D1633" t="str">
            <v>Steel Fixer</v>
          </cell>
        </row>
        <row r="1634">
          <cell r="A1634" t="str">
            <v>2542748575</v>
          </cell>
          <cell r="B1634" t="str">
            <v>Mudasar</v>
          </cell>
          <cell r="C1634" t="str">
            <v>ELITE HEART</v>
          </cell>
          <cell r="D1634" t="str">
            <v>Steel Fixer</v>
          </cell>
        </row>
        <row r="1635">
          <cell r="A1635" t="str">
            <v>2517826943</v>
          </cell>
          <cell r="B1635" t="str">
            <v>Mudasar rasool</v>
          </cell>
          <cell r="C1635" t="str">
            <v>BUILDING ROOTS</v>
          </cell>
          <cell r="D1635" t="str">
            <v>Driver</v>
          </cell>
        </row>
        <row r="1636">
          <cell r="A1636" t="str">
            <v>2553374378</v>
          </cell>
          <cell r="B1636" t="str">
            <v>Mudaser Khan</v>
          </cell>
          <cell r="C1636" t="str">
            <v>SAUDI BAUER</v>
          </cell>
          <cell r="D1636" t="str">
            <v>Qc Helper</v>
          </cell>
        </row>
        <row r="1637">
          <cell r="A1637" t="str">
            <v>2513980520</v>
          </cell>
          <cell r="B1637" t="str">
            <v>Mudash</v>
          </cell>
          <cell r="C1637" t="str">
            <v>BUILDING ROOTS</v>
          </cell>
          <cell r="D1637" t="str">
            <v>Carpenter</v>
          </cell>
        </row>
        <row r="1638">
          <cell r="A1638" t="str">
            <v>2523499743</v>
          </cell>
          <cell r="B1638" t="str">
            <v>Mudsar Arif</v>
          </cell>
          <cell r="C1638" t="str">
            <v>BUILDING ROOTS</v>
          </cell>
          <cell r="D1638" t="str">
            <v>Steel Fixer</v>
          </cell>
        </row>
        <row r="1639">
          <cell r="A1639" t="str">
            <v>2597681192</v>
          </cell>
          <cell r="B1639" t="str">
            <v>Mufeed</v>
          </cell>
          <cell r="C1639" t="str">
            <v>BUILDING ROOTS</v>
          </cell>
          <cell r="D1639" t="str">
            <v>Carpenter</v>
          </cell>
        </row>
        <row r="1640">
          <cell r="A1640" t="str">
            <v>2537582906</v>
          </cell>
          <cell r="B1640" t="str">
            <v>Muhamad Sabir</v>
          </cell>
          <cell r="C1640" t="str">
            <v>ELITE HEART</v>
          </cell>
          <cell r="D1640" t="str">
            <v>Labour</v>
          </cell>
        </row>
        <row r="1641">
          <cell r="A1641" t="str">
            <v>2624723355</v>
          </cell>
          <cell r="B1641" t="str">
            <v>Muhammad</v>
          </cell>
          <cell r="C1641" t="str">
            <v>BUILDING ROOTS</v>
          </cell>
          <cell r="D1641" t="str">
            <v>Carpenter</v>
          </cell>
        </row>
        <row r="1642">
          <cell r="A1642" t="str">
            <v>2627987973</v>
          </cell>
          <cell r="B1642" t="str">
            <v>Muhammad Abid</v>
          </cell>
          <cell r="C1642" t="str">
            <v>BUILDING ROOTS</v>
          </cell>
          <cell r="D1642" t="str">
            <v>Carpenter</v>
          </cell>
        </row>
        <row r="1643">
          <cell r="A1643" t="str">
            <v>2536131150</v>
          </cell>
          <cell r="B1643" t="str">
            <v>Muhammad Afaq</v>
          </cell>
          <cell r="C1643" t="str">
            <v>ELITE HEART</v>
          </cell>
          <cell r="D1643" t="str">
            <v>Steel Fixer</v>
          </cell>
        </row>
        <row r="1644">
          <cell r="A1644" t="str">
            <v>2619383772</v>
          </cell>
          <cell r="B1644" t="str">
            <v>Muhammad Ali</v>
          </cell>
          <cell r="C1644" t="str">
            <v>BUILDING ROOTS</v>
          </cell>
          <cell r="D1644" t="str">
            <v>Steel Fixer</v>
          </cell>
        </row>
        <row r="1645">
          <cell r="A1645" t="str">
            <v>2501683516</v>
          </cell>
          <cell r="B1645" t="str">
            <v>Muhammad Ali</v>
          </cell>
          <cell r="C1645" t="str">
            <v>BUILDING ROOTS</v>
          </cell>
          <cell r="D1645" t="str">
            <v>Carpenter</v>
          </cell>
        </row>
        <row r="1646">
          <cell r="A1646" t="str">
            <v>2625421896</v>
          </cell>
          <cell r="B1646" t="str">
            <v>Muhammad Ali</v>
          </cell>
          <cell r="C1646" t="str">
            <v>SAUDI BAUER</v>
          </cell>
          <cell r="D1646" t="str">
            <v>Helper</v>
          </cell>
        </row>
        <row r="1647">
          <cell r="A1647" t="str">
            <v>2580415632</v>
          </cell>
          <cell r="B1647" t="str">
            <v>Muhammad Ali</v>
          </cell>
          <cell r="C1647" t="str">
            <v>BUILDING ROOTS</v>
          </cell>
          <cell r="D1647" t="str">
            <v>Steel Fixer</v>
          </cell>
        </row>
        <row r="1648">
          <cell r="A1648" t="str">
            <v>2520194077</v>
          </cell>
          <cell r="B1648" t="str">
            <v>Muhammad Ali</v>
          </cell>
          <cell r="C1648" t="str">
            <v>ELITE HEART</v>
          </cell>
          <cell r="D1648" t="str">
            <v>Labour</v>
          </cell>
        </row>
        <row r="1649">
          <cell r="A1649" t="str">
            <v>2388194124</v>
          </cell>
          <cell r="B1649" t="str">
            <v>Muhammad Arshad</v>
          </cell>
          <cell r="C1649" t="str">
            <v>SAUDI BAUER</v>
          </cell>
          <cell r="D1649" t="str">
            <v>Surveyor</v>
          </cell>
        </row>
        <row r="1650">
          <cell r="A1650" t="str">
            <v>2456219308</v>
          </cell>
          <cell r="B1650" t="str">
            <v>Muhammad Ayaz</v>
          </cell>
          <cell r="C1650" t="str">
            <v>BUILDING ROOTS</v>
          </cell>
          <cell r="D1650" t="str">
            <v>Steel Fixer</v>
          </cell>
        </row>
        <row r="1651">
          <cell r="A1651" t="str">
            <v>2543183679</v>
          </cell>
          <cell r="B1651" t="str">
            <v>Muhammad Azan</v>
          </cell>
          <cell r="C1651" t="str">
            <v>TAMIMI</v>
          </cell>
          <cell r="D1651" t="str">
            <v>Helper</v>
          </cell>
        </row>
        <row r="1652">
          <cell r="A1652" t="str">
            <v>2607501422</v>
          </cell>
          <cell r="B1652" t="str">
            <v>Muhammad Azeem</v>
          </cell>
          <cell r="C1652" t="str">
            <v>BUILDING ROOTS</v>
          </cell>
          <cell r="D1652" t="str">
            <v>Labour</v>
          </cell>
        </row>
        <row r="1653">
          <cell r="A1653" t="str">
            <v>2552681468</v>
          </cell>
          <cell r="B1653" t="str">
            <v>Muhammad Baman</v>
          </cell>
          <cell r="C1653" t="str">
            <v>BUILDING ROOTS</v>
          </cell>
          <cell r="D1653" t="str">
            <v>Steel Fixer</v>
          </cell>
        </row>
        <row r="1654">
          <cell r="A1654" t="str">
            <v>2619172642</v>
          </cell>
          <cell r="B1654" t="str">
            <v>Muhammad Danish</v>
          </cell>
          <cell r="C1654" t="str">
            <v>BUILDING ROOTS</v>
          </cell>
          <cell r="D1654" t="str">
            <v>Steel Fixer</v>
          </cell>
        </row>
        <row r="1655">
          <cell r="A1655" t="str">
            <v>2408394860</v>
          </cell>
          <cell r="B1655" t="str">
            <v>Muhammad Gheshan</v>
          </cell>
          <cell r="C1655" t="str">
            <v>BUILDING ROOTS</v>
          </cell>
          <cell r="D1655" t="str">
            <v>Surveryor</v>
          </cell>
        </row>
        <row r="1656">
          <cell r="A1656" t="str">
            <v>2382987812</v>
          </cell>
          <cell r="B1656" t="str">
            <v>Muhammad Hashum</v>
          </cell>
          <cell r="C1656" t="str">
            <v>SAUDI BAUER</v>
          </cell>
          <cell r="D1656" t="str">
            <v>Crane Operator</v>
          </cell>
        </row>
        <row r="1657">
          <cell r="A1657" t="str">
            <v>2548203955</v>
          </cell>
          <cell r="B1657" t="str">
            <v>Muhammad Hussain</v>
          </cell>
          <cell r="C1657" t="str">
            <v>BUILDING ROOTS</v>
          </cell>
          <cell r="D1657" t="str">
            <v>Steel Fixer</v>
          </cell>
        </row>
        <row r="1658">
          <cell r="A1658" t="str">
            <v>2522587394</v>
          </cell>
          <cell r="B1658" t="str">
            <v>Muhammad Ibrahim</v>
          </cell>
          <cell r="C1658" t="str">
            <v>BUILDING ROOTS</v>
          </cell>
          <cell r="D1658" t="str">
            <v>Carpenter</v>
          </cell>
        </row>
        <row r="1659">
          <cell r="A1659" t="str">
            <v>2613479852</v>
          </cell>
          <cell r="B1659" t="str">
            <v>Muhammad Imran</v>
          </cell>
          <cell r="C1659" t="str">
            <v>BUILDING ROOTS</v>
          </cell>
          <cell r="D1659" t="str">
            <v>Steel Fixer</v>
          </cell>
        </row>
        <row r="1660">
          <cell r="A1660" t="str">
            <v>253724113</v>
          </cell>
          <cell r="B1660" t="str">
            <v>Muhammad Irfan</v>
          </cell>
          <cell r="C1660" t="str">
            <v>BUILDING ROOTS</v>
          </cell>
          <cell r="D1660" t="str">
            <v>Steel Fixer</v>
          </cell>
        </row>
        <row r="1661">
          <cell r="A1661" t="str">
            <v>2320133370</v>
          </cell>
          <cell r="B1661" t="str">
            <v>Muhammad Irfan</v>
          </cell>
          <cell r="C1661" t="str">
            <v>ELITE HEART</v>
          </cell>
          <cell r="D1661" t="str">
            <v>Steel Fixer</v>
          </cell>
        </row>
        <row r="1662">
          <cell r="A1662" t="str">
            <v>2546806775</v>
          </cell>
          <cell r="B1662" t="str">
            <v>Muhammad Irshad Khan</v>
          </cell>
          <cell r="C1662" t="str">
            <v>TAMIMI</v>
          </cell>
          <cell r="D1662" t="str">
            <v>Carpenter</v>
          </cell>
        </row>
        <row r="1663">
          <cell r="A1663" t="str">
            <v>2586417574</v>
          </cell>
          <cell r="B1663" t="str">
            <v>Muhammad Issa</v>
          </cell>
          <cell r="C1663" t="str">
            <v>ELITE HEART</v>
          </cell>
          <cell r="D1663" t="str">
            <v>Steel Fixer</v>
          </cell>
        </row>
        <row r="1664">
          <cell r="A1664" t="str">
            <v>2596736245</v>
          </cell>
          <cell r="B1664" t="str">
            <v>Muhammad Javed</v>
          </cell>
          <cell r="C1664" t="str">
            <v>BUILDING ROOTS</v>
          </cell>
          <cell r="D1664" t="str">
            <v>Carpenter</v>
          </cell>
        </row>
        <row r="1665">
          <cell r="A1665" t="str">
            <v>2618891481</v>
          </cell>
          <cell r="B1665" t="str">
            <v>Muhammad Kashan</v>
          </cell>
          <cell r="C1665" t="str">
            <v>BUILDING ROOTS</v>
          </cell>
          <cell r="D1665" t="str">
            <v>Steel Fixer</v>
          </cell>
        </row>
        <row r="1666">
          <cell r="A1666" t="str">
            <v>2509958472</v>
          </cell>
          <cell r="B1666" t="str">
            <v>Muhammad Khan</v>
          </cell>
          <cell r="C1666" t="str">
            <v>BUILDING ROOTS</v>
          </cell>
          <cell r="D1666" t="str">
            <v>Foreman Carpenter</v>
          </cell>
        </row>
        <row r="1667">
          <cell r="A1667" t="str">
            <v>263386105</v>
          </cell>
          <cell r="B1667" t="str">
            <v>Muhammad Khan</v>
          </cell>
          <cell r="C1667" t="str">
            <v>ELITE HEART</v>
          </cell>
          <cell r="D1667" t="str">
            <v>Carpenter</v>
          </cell>
        </row>
        <row r="1668">
          <cell r="A1668" t="str">
            <v>2536660513</v>
          </cell>
          <cell r="B1668" t="str">
            <v>Muhammad Mehtab</v>
          </cell>
          <cell r="C1668" t="str">
            <v>UNITED</v>
          </cell>
          <cell r="D1668" t="str">
            <v>Bobcat Operator</v>
          </cell>
        </row>
        <row r="1669">
          <cell r="A1669" t="str">
            <v>2592931832</v>
          </cell>
          <cell r="B1669" t="str">
            <v>Muhammad Musa</v>
          </cell>
          <cell r="C1669" t="str">
            <v>ELITE HEART</v>
          </cell>
          <cell r="D1669" t="str">
            <v>Labour</v>
          </cell>
        </row>
        <row r="1670">
          <cell r="A1670" t="str">
            <v>2566596553</v>
          </cell>
          <cell r="B1670" t="str">
            <v>Muhammad Mustafa</v>
          </cell>
          <cell r="C1670" t="str">
            <v>TAMIMI</v>
          </cell>
          <cell r="D1670" t="str">
            <v>Carpenter</v>
          </cell>
        </row>
        <row r="1671">
          <cell r="A1671" t="str">
            <v>2565151095</v>
          </cell>
          <cell r="B1671" t="str">
            <v>Muhammad Rafique</v>
          </cell>
          <cell r="C1671" t="str">
            <v>BUILDING ROOTS</v>
          </cell>
          <cell r="D1671" t="str">
            <v>Steel Fixer</v>
          </cell>
        </row>
        <row r="1672">
          <cell r="A1672" t="str">
            <v>2250854866</v>
          </cell>
          <cell r="B1672" t="str">
            <v>Muhammad Rail</v>
          </cell>
          <cell r="C1672" t="str">
            <v>BUILDING ROOTS</v>
          </cell>
          <cell r="D1672" t="str">
            <v>Steel Fixer</v>
          </cell>
        </row>
        <row r="1673">
          <cell r="A1673" t="str">
            <v>2612082152</v>
          </cell>
          <cell r="B1673" t="str">
            <v>Muhammad Ramzan</v>
          </cell>
          <cell r="C1673" t="str">
            <v>BUILDING ROOTS</v>
          </cell>
          <cell r="D1673" t="str">
            <v>Steel Fixer</v>
          </cell>
        </row>
        <row r="1674">
          <cell r="A1674" t="str">
            <v>2431963053</v>
          </cell>
          <cell r="B1674" t="str">
            <v>Muhammad Riaz</v>
          </cell>
          <cell r="C1674" t="str">
            <v>ELITE HEART</v>
          </cell>
          <cell r="D1674" t="str">
            <v>Steel Fixer</v>
          </cell>
        </row>
        <row r="1675">
          <cell r="A1675" t="str">
            <v>2523834634</v>
          </cell>
          <cell r="B1675" t="str">
            <v>Muhammad Riaz</v>
          </cell>
          <cell r="C1675" t="str">
            <v>GLOBAL CASTLES</v>
          </cell>
          <cell r="D1675" t="str">
            <v>Mobile Crane Operator</v>
          </cell>
        </row>
        <row r="1676">
          <cell r="A1676" t="str">
            <v>2598492631</v>
          </cell>
          <cell r="B1676" t="str">
            <v>Muhammad Shah</v>
          </cell>
          <cell r="C1676" t="str">
            <v>ELITE HEART</v>
          </cell>
          <cell r="D1676" t="str">
            <v>Labour</v>
          </cell>
        </row>
        <row r="1677">
          <cell r="A1677" t="str">
            <v>2624488363</v>
          </cell>
          <cell r="B1677" t="str">
            <v>Muhammad Shahid</v>
          </cell>
          <cell r="C1677" t="str">
            <v>GLOBAL CASTLES</v>
          </cell>
          <cell r="D1677" t="str">
            <v>Document Controller</v>
          </cell>
        </row>
        <row r="1678">
          <cell r="A1678" t="str">
            <v>2522314356</v>
          </cell>
          <cell r="B1678" t="str">
            <v>Muhammad Sikandar</v>
          </cell>
          <cell r="C1678" t="str">
            <v>ELITE HEART</v>
          </cell>
          <cell r="D1678" t="str">
            <v>Steel Fixer</v>
          </cell>
        </row>
        <row r="1679">
          <cell r="A1679" t="str">
            <v>2618312132</v>
          </cell>
          <cell r="B1679" t="str">
            <v>Muhammad Suhail</v>
          </cell>
          <cell r="C1679" t="str">
            <v>BUILDING ROOTS</v>
          </cell>
          <cell r="D1679" t="str">
            <v>Helper</v>
          </cell>
        </row>
        <row r="1680">
          <cell r="A1680" t="str">
            <v>2589947217</v>
          </cell>
          <cell r="B1680" t="str">
            <v>Muhammad Taha</v>
          </cell>
          <cell r="C1680" t="str">
            <v>BUILDING ROOTS</v>
          </cell>
          <cell r="D1680" t="str">
            <v>Steel Fixer</v>
          </cell>
        </row>
        <row r="1681">
          <cell r="A1681" t="str">
            <v>291535220</v>
          </cell>
          <cell r="B1681" t="str">
            <v>Muhammad Tariq</v>
          </cell>
          <cell r="C1681" t="str">
            <v>AJI RENTALS</v>
          </cell>
          <cell r="D1681" t="str">
            <v>Supervisor</v>
          </cell>
        </row>
        <row r="1682">
          <cell r="A1682" t="str">
            <v>262775409</v>
          </cell>
          <cell r="B1682" t="str">
            <v>Muhammad Waseem</v>
          </cell>
          <cell r="C1682" t="str">
            <v>ELITE HEART</v>
          </cell>
          <cell r="D1682" t="str">
            <v>Steel Fixer</v>
          </cell>
        </row>
        <row r="1683">
          <cell r="A1683" t="str">
            <v>2344242967</v>
          </cell>
          <cell r="B1683" t="str">
            <v>Muhammad Waseem Islam</v>
          </cell>
          <cell r="C1683" t="str">
            <v>ELITE HEART</v>
          </cell>
          <cell r="D1683" t="str">
            <v>Admin Officer</v>
          </cell>
        </row>
        <row r="1684">
          <cell r="A1684" t="str">
            <v>2611976628</v>
          </cell>
          <cell r="B1684" t="str">
            <v>Muhammad Yaseen</v>
          </cell>
          <cell r="C1684" t="str">
            <v>BUILDING ROOTS</v>
          </cell>
          <cell r="D1684" t="str">
            <v>Carpenter</v>
          </cell>
        </row>
        <row r="1685">
          <cell r="A1685" t="str">
            <v>2521350914</v>
          </cell>
          <cell r="B1685" t="str">
            <v>Muhammad Yasir</v>
          </cell>
          <cell r="C1685" t="str">
            <v>ALMABANI CONT.</v>
          </cell>
          <cell r="D1685" t="str">
            <v>Foreman Civil</v>
          </cell>
        </row>
        <row r="1686">
          <cell r="A1686" t="str">
            <v>2630324537</v>
          </cell>
          <cell r="B1686" t="str">
            <v>Muhammad Yousaf</v>
          </cell>
          <cell r="C1686" t="str">
            <v>BUILDING ROOTS</v>
          </cell>
          <cell r="D1686" t="str">
            <v>Carpenter</v>
          </cell>
        </row>
        <row r="1687">
          <cell r="A1687" t="str">
            <v>2552822411</v>
          </cell>
          <cell r="B1687" t="str">
            <v>Muhammad Zada</v>
          </cell>
          <cell r="C1687" t="str">
            <v>ELITE HEART</v>
          </cell>
          <cell r="D1687" t="str">
            <v>Labour</v>
          </cell>
        </row>
        <row r="1688">
          <cell r="A1688" t="str">
            <v>2522488671</v>
          </cell>
          <cell r="B1688" t="str">
            <v>Muhammad Zada</v>
          </cell>
          <cell r="C1688" t="str">
            <v>BUILDING ROOTS</v>
          </cell>
          <cell r="D1688" t="str">
            <v>Labour</v>
          </cell>
        </row>
        <row r="1689">
          <cell r="A1689" t="str">
            <v>2526701013</v>
          </cell>
          <cell r="B1689" t="str">
            <v>Muhammad Zaid Khan</v>
          </cell>
          <cell r="C1689" t="str">
            <v>TAMIMI</v>
          </cell>
          <cell r="D1689" t="str">
            <v>Carpenter</v>
          </cell>
        </row>
        <row r="1690">
          <cell r="A1690" t="str">
            <v>2561551314</v>
          </cell>
          <cell r="B1690" t="str">
            <v>Muhammad Zeeshan</v>
          </cell>
          <cell r="C1690" t="str">
            <v>BUILDING ROOTS</v>
          </cell>
          <cell r="D1690" t="str">
            <v>Steel Fixer</v>
          </cell>
        </row>
        <row r="1691">
          <cell r="A1691" t="str">
            <v>2611998537</v>
          </cell>
          <cell r="B1691" t="str">
            <v>Muhammad abdullah</v>
          </cell>
          <cell r="C1691" t="str">
            <v>ELITE HEART</v>
          </cell>
          <cell r="D1691" t="str">
            <v>Steel Fixer</v>
          </cell>
        </row>
        <row r="1692">
          <cell r="A1692" t="str">
            <v>2607717572</v>
          </cell>
          <cell r="B1692" t="str">
            <v>Muhammad ali</v>
          </cell>
          <cell r="C1692" t="str">
            <v>UNITED GULF</v>
          </cell>
          <cell r="D1692" t="str">
            <v>Safety officer</v>
          </cell>
        </row>
        <row r="1693">
          <cell r="A1693" t="str">
            <v>2631320047</v>
          </cell>
          <cell r="B1693" t="str">
            <v>Muhammad amjad</v>
          </cell>
          <cell r="C1693" t="str">
            <v>RED CAMEL</v>
          </cell>
          <cell r="D1693" t="str">
            <v>Forklift operator</v>
          </cell>
        </row>
        <row r="1694">
          <cell r="A1694" t="str">
            <v>2630728588</v>
          </cell>
          <cell r="B1694" t="str">
            <v>Muhammad anas</v>
          </cell>
          <cell r="C1694" t="str">
            <v>AALICO</v>
          </cell>
          <cell r="D1694" t="str">
            <v>Flagman</v>
          </cell>
        </row>
        <row r="1695">
          <cell r="A1695" t="str">
            <v>2591546243</v>
          </cell>
          <cell r="B1695" t="str">
            <v>Muhammad ishaq</v>
          </cell>
          <cell r="C1695" t="str">
            <v>BUILDING ROOTS</v>
          </cell>
          <cell r="D1695" t="str">
            <v>labor</v>
          </cell>
        </row>
        <row r="1696">
          <cell r="A1696" t="str">
            <v>2482806367</v>
          </cell>
          <cell r="B1696" t="str">
            <v>Muhammad jamal</v>
          </cell>
          <cell r="C1696" t="str">
            <v>BUILDING ROOTS</v>
          </cell>
          <cell r="D1696" t="str">
            <v>Wheel Loader Operator</v>
          </cell>
        </row>
        <row r="1697">
          <cell r="A1697" t="str">
            <v>2623386105</v>
          </cell>
          <cell r="B1697" t="str">
            <v>Muhammad khan</v>
          </cell>
          <cell r="C1697" t="str">
            <v>ELITE HEART</v>
          </cell>
          <cell r="D1697" t="str">
            <v>Carpenter</v>
          </cell>
        </row>
        <row r="1698">
          <cell r="A1698" t="str">
            <v>2526823733</v>
          </cell>
          <cell r="B1698" t="str">
            <v>Muhammed Akra</v>
          </cell>
          <cell r="C1698" t="str">
            <v>BUILDING ROOTS</v>
          </cell>
          <cell r="D1698" t="str">
            <v>Labour</v>
          </cell>
        </row>
        <row r="1699">
          <cell r="A1699" t="str">
            <v>2625875337</v>
          </cell>
          <cell r="B1699" t="str">
            <v>Muhammed Hussain</v>
          </cell>
          <cell r="C1699" t="str">
            <v>BUILDING ROOTS</v>
          </cell>
          <cell r="D1699" t="str">
            <v>Steel Fixer</v>
          </cell>
        </row>
        <row r="1700">
          <cell r="A1700" t="str">
            <v>2596845194</v>
          </cell>
          <cell r="B1700" t="str">
            <v>Muhammed Mukhatir</v>
          </cell>
          <cell r="C1700" t="str">
            <v>ELITE HEART</v>
          </cell>
          <cell r="D1700" t="str">
            <v>-</v>
          </cell>
        </row>
        <row r="1701">
          <cell r="A1701" t="str">
            <v>2541231581</v>
          </cell>
          <cell r="B1701" t="str">
            <v>Muhammed Sabir</v>
          </cell>
          <cell r="C1701" t="str">
            <v>ELITE HEART</v>
          </cell>
          <cell r="D1701" t="str">
            <v>Steel Fixer</v>
          </cell>
        </row>
        <row r="1702">
          <cell r="A1702" t="str">
            <v>2613019286</v>
          </cell>
          <cell r="B1702" t="str">
            <v>Muhammed Shain</v>
          </cell>
          <cell r="C1702" t="str">
            <v>MARFA AL SHAMAL</v>
          </cell>
          <cell r="D1702" t="str">
            <v>Technician</v>
          </cell>
        </row>
        <row r="1703">
          <cell r="A1703" t="str">
            <v>2519028795</v>
          </cell>
          <cell r="B1703" t="str">
            <v>Muhib Abdo Ali</v>
          </cell>
          <cell r="C1703" t="str">
            <v>BUILDING ROOTS</v>
          </cell>
          <cell r="D1703" t="str">
            <v>Carpenter</v>
          </cell>
        </row>
        <row r="1704">
          <cell r="A1704" t="str">
            <v>2522016704</v>
          </cell>
          <cell r="B1704" t="str">
            <v>Muhib Qasem</v>
          </cell>
          <cell r="C1704" t="str">
            <v>GULF MARK</v>
          </cell>
          <cell r="D1704" t="str">
            <v>Driver</v>
          </cell>
        </row>
        <row r="1705">
          <cell r="A1705" t="str">
            <v>2570829362</v>
          </cell>
          <cell r="B1705" t="str">
            <v>Muhmad Mushtaq Saaed</v>
          </cell>
          <cell r="C1705" t="str">
            <v>SAUDI BAUER</v>
          </cell>
          <cell r="D1705" t="str">
            <v>Helper</v>
          </cell>
        </row>
        <row r="1706">
          <cell r="A1706" t="str">
            <v>2289972198</v>
          </cell>
          <cell r="B1706" t="str">
            <v>Muhsin</v>
          </cell>
          <cell r="C1706" t="str">
            <v>BUILDING ROOTS</v>
          </cell>
          <cell r="D1706" t="str">
            <v>Foreman</v>
          </cell>
        </row>
        <row r="1707">
          <cell r="A1707" t="str">
            <v>2579364973</v>
          </cell>
          <cell r="B1707" t="str">
            <v>Mujahid</v>
          </cell>
          <cell r="C1707" t="str">
            <v>BUILDING ROOTS</v>
          </cell>
          <cell r="D1707" t="str">
            <v>Labour</v>
          </cell>
        </row>
        <row r="1708">
          <cell r="A1708" t="str">
            <v>2612868394</v>
          </cell>
          <cell r="B1708" t="str">
            <v>Mujahid Ahmad</v>
          </cell>
          <cell r="C1708" t="str">
            <v>BUILDING ROOTS</v>
          </cell>
          <cell r="D1708" t="str">
            <v>Labour</v>
          </cell>
        </row>
        <row r="1709">
          <cell r="A1709" t="str">
            <v>2318210313</v>
          </cell>
          <cell r="B1709" t="str">
            <v>Mujahid Ahmed</v>
          </cell>
          <cell r="C1709" t="str">
            <v>BUILDING ROOTS</v>
          </cell>
          <cell r="D1709" t="str">
            <v>Foreman</v>
          </cell>
        </row>
        <row r="1710">
          <cell r="A1710" t="str">
            <v>2530811641</v>
          </cell>
          <cell r="B1710" t="str">
            <v>Mujahid Khan</v>
          </cell>
          <cell r="C1710" t="str">
            <v>SAUDI BAUER</v>
          </cell>
          <cell r="D1710" t="str">
            <v>Rigger</v>
          </cell>
        </row>
        <row r="1711">
          <cell r="A1711" t="str">
            <v>2636331890</v>
          </cell>
          <cell r="B1711" t="str">
            <v>Mujahid aurangzeb</v>
          </cell>
          <cell r="C1711" t="str">
            <v>BUILDING ROOTS</v>
          </cell>
          <cell r="D1711" t="str">
            <v>labor</v>
          </cell>
        </row>
        <row r="1712">
          <cell r="A1712" t="str">
            <v>2588988457</v>
          </cell>
          <cell r="B1712" t="str">
            <v>Mujahidul Rahman</v>
          </cell>
          <cell r="C1712" t="str">
            <v>GLOBAL CASTLES</v>
          </cell>
          <cell r="D1712" t="str">
            <v>Steel Fixer</v>
          </cell>
        </row>
        <row r="1713">
          <cell r="A1713" t="str">
            <v>2612447561</v>
          </cell>
          <cell r="B1713" t="str">
            <v>Mujeeb Ullah</v>
          </cell>
          <cell r="C1713" t="str">
            <v>BUILDING ROOTS</v>
          </cell>
          <cell r="D1713" t="str">
            <v>Carpenter</v>
          </cell>
        </row>
        <row r="1714">
          <cell r="A1714" t="str">
            <v>2589830880</v>
          </cell>
          <cell r="B1714" t="str">
            <v>Mukesh Kumar</v>
          </cell>
          <cell r="C1714" t="str">
            <v>SAUDI BAUER</v>
          </cell>
          <cell r="D1714" t="str">
            <v>Excavator Opeator</v>
          </cell>
        </row>
        <row r="1715">
          <cell r="A1715" t="str">
            <v>2397839727</v>
          </cell>
          <cell r="B1715" t="str">
            <v>Mukesh Lal</v>
          </cell>
          <cell r="C1715" t="str">
            <v>ALMABANI CONT.</v>
          </cell>
          <cell r="D1715" t="str">
            <v>Mason</v>
          </cell>
        </row>
        <row r="1716">
          <cell r="A1716" t="str">
            <v>2610796548</v>
          </cell>
          <cell r="B1716" t="str">
            <v>Mukhtar Ali</v>
          </cell>
          <cell r="C1716" t="str">
            <v>GLOBAL CASTLES</v>
          </cell>
          <cell r="D1716" t="str">
            <v>Carpenter</v>
          </cell>
        </row>
        <row r="1717">
          <cell r="A1717" t="str">
            <v>113210165</v>
          </cell>
          <cell r="B1717" t="str">
            <v>Mukhtar Alshanqiti</v>
          </cell>
          <cell r="C1717" t="str">
            <v>ALMABANI CONT.</v>
          </cell>
          <cell r="D1717" t="str">
            <v>Mechanical Engineer</v>
          </cell>
        </row>
        <row r="1718">
          <cell r="A1718" t="str">
            <v>2425254352</v>
          </cell>
          <cell r="B1718" t="str">
            <v>Mukhtar ullah</v>
          </cell>
          <cell r="C1718" t="str">
            <v>BUILDING ROOTS</v>
          </cell>
          <cell r="D1718" t="str">
            <v>Carpenter</v>
          </cell>
        </row>
        <row r="1719">
          <cell r="A1719" t="str">
            <v>2538224292</v>
          </cell>
          <cell r="B1719" t="str">
            <v>Mukrameen</v>
          </cell>
          <cell r="C1719" t="str">
            <v>ELITE HEART</v>
          </cell>
          <cell r="D1719" t="str">
            <v>Driver Dump Truck</v>
          </cell>
        </row>
        <row r="1720">
          <cell r="A1720" t="str">
            <v>2445385509</v>
          </cell>
          <cell r="B1720" t="str">
            <v>Mulfat</v>
          </cell>
          <cell r="C1720" t="str">
            <v>JV (BBI-AGC)</v>
          </cell>
          <cell r="D1720" t="str">
            <v>Crane Operator</v>
          </cell>
        </row>
        <row r="1721">
          <cell r="A1721" t="str">
            <v>2621654025</v>
          </cell>
          <cell r="B1721" t="str">
            <v>Multaim Khan</v>
          </cell>
          <cell r="C1721" t="str">
            <v>BUILDING ROOTS</v>
          </cell>
          <cell r="D1721" t="str">
            <v>Carpenter</v>
          </cell>
        </row>
        <row r="1722">
          <cell r="A1722" t="str">
            <v>2626074054</v>
          </cell>
          <cell r="B1722" t="str">
            <v>Mumtaz Alam</v>
          </cell>
          <cell r="C1722" t="str">
            <v>ELITE HEART</v>
          </cell>
          <cell r="D1722" t="str">
            <v>Carpenter</v>
          </cell>
        </row>
        <row r="1723">
          <cell r="A1723" t="str">
            <v>2515736334</v>
          </cell>
          <cell r="B1723" t="str">
            <v>Mumtaz Mohammed</v>
          </cell>
          <cell r="C1723" t="str">
            <v>BUILDING ROOTS</v>
          </cell>
          <cell r="D1723" t="str">
            <v>Carpenter</v>
          </cell>
        </row>
        <row r="1724">
          <cell r="A1724" t="str">
            <v>2597020920</v>
          </cell>
          <cell r="B1724" t="str">
            <v>Munawar Ali</v>
          </cell>
          <cell r="C1724" t="str">
            <v>ELITE HEART</v>
          </cell>
          <cell r="D1724" t="str">
            <v>Admin</v>
          </cell>
        </row>
        <row r="1725">
          <cell r="A1725" t="str">
            <v>2621125257</v>
          </cell>
          <cell r="B1725" t="str">
            <v>Munawar Khan</v>
          </cell>
          <cell r="C1725" t="str">
            <v>BUILDING ROOTS</v>
          </cell>
          <cell r="D1725" t="str">
            <v>Carpenter</v>
          </cell>
        </row>
        <row r="1726">
          <cell r="A1726" t="str">
            <v>2528477041</v>
          </cell>
          <cell r="B1726" t="str">
            <v>Munef Khan</v>
          </cell>
          <cell r="C1726" t="str">
            <v>SAUDI BAUER</v>
          </cell>
          <cell r="D1726" t="str">
            <v>Dumptruck Driver</v>
          </cell>
        </row>
        <row r="1727">
          <cell r="A1727" t="str">
            <v>2589955121</v>
          </cell>
          <cell r="B1727" t="str">
            <v>Munib Ullah</v>
          </cell>
          <cell r="C1727" t="str">
            <v>BUILDING ROOTS</v>
          </cell>
          <cell r="D1727" t="str">
            <v>Steel Fixer</v>
          </cell>
        </row>
        <row r="1728">
          <cell r="A1728" t="str">
            <v>2552551976</v>
          </cell>
          <cell r="B1728" t="str">
            <v>Munir</v>
          </cell>
          <cell r="C1728" t="str">
            <v>ELITE HEART</v>
          </cell>
          <cell r="D1728" t="str">
            <v>Steel Fixer</v>
          </cell>
        </row>
        <row r="1729">
          <cell r="A1729" t="str">
            <v>2510226935</v>
          </cell>
          <cell r="B1729" t="str">
            <v>Munir</v>
          </cell>
          <cell r="C1729" t="str">
            <v>GLOBAL CASTLES</v>
          </cell>
          <cell r="D1729" t="str">
            <v>Foreman</v>
          </cell>
        </row>
        <row r="1730">
          <cell r="A1730" t="str">
            <v>2610440006</v>
          </cell>
          <cell r="B1730" t="str">
            <v>Munna</v>
          </cell>
          <cell r="C1730" t="str">
            <v>GLOBAL CASTLES</v>
          </cell>
          <cell r="D1730" t="str">
            <v>Labour</v>
          </cell>
        </row>
        <row r="1731">
          <cell r="A1731" t="str">
            <v>2554002317</v>
          </cell>
          <cell r="B1731" t="str">
            <v>Murhtiaz</v>
          </cell>
          <cell r="C1731" t="str">
            <v>GLOBAL CASTLES</v>
          </cell>
          <cell r="D1731" t="str">
            <v>Carpenter</v>
          </cell>
        </row>
        <row r="1732">
          <cell r="A1732" t="str">
            <v>2601174911</v>
          </cell>
          <cell r="B1732" t="str">
            <v>Mursaleem</v>
          </cell>
          <cell r="C1732" t="str">
            <v>GLOBAL CASTLE</v>
          </cell>
          <cell r="D1732" t="str">
            <v>Steel Fixer</v>
          </cell>
        </row>
        <row r="1733">
          <cell r="A1733" t="str">
            <v>2522060116</v>
          </cell>
          <cell r="B1733" t="str">
            <v>Mursalin Khan</v>
          </cell>
          <cell r="C1733" t="str">
            <v>GLOBAL CASTLES</v>
          </cell>
          <cell r="D1733" t="str">
            <v>Rigger</v>
          </cell>
        </row>
        <row r="1734">
          <cell r="A1734" t="str">
            <v>2549895007</v>
          </cell>
          <cell r="B1734" t="str">
            <v>Murshid</v>
          </cell>
          <cell r="C1734" t="str">
            <v>Cretec</v>
          </cell>
          <cell r="D1734" t="str">
            <v>roofer</v>
          </cell>
        </row>
        <row r="1735">
          <cell r="A1735" t="str">
            <v>2589087358</v>
          </cell>
          <cell r="B1735" t="str">
            <v>Murtad</v>
          </cell>
          <cell r="C1735" t="str">
            <v>BUILDING ROOTS</v>
          </cell>
          <cell r="D1735" t="str">
            <v>Carpenter</v>
          </cell>
        </row>
        <row r="1736">
          <cell r="A1736" t="str">
            <v>2675511593</v>
          </cell>
          <cell r="B1736" t="str">
            <v>Musa</v>
          </cell>
          <cell r="C1736" t="str">
            <v>BUILDING ROOTS</v>
          </cell>
          <cell r="D1736" t="str">
            <v>Scaffolder</v>
          </cell>
        </row>
        <row r="1737">
          <cell r="A1737" t="str">
            <v>2613809409</v>
          </cell>
          <cell r="B1737" t="str">
            <v>Musa Khan</v>
          </cell>
          <cell r="C1737" t="str">
            <v>BUILDING ROOTS</v>
          </cell>
          <cell r="D1737" t="str">
            <v>Steel Fixer</v>
          </cell>
        </row>
        <row r="1738">
          <cell r="A1738" t="str">
            <v>2520612819</v>
          </cell>
          <cell r="B1738" t="str">
            <v>Musawad Khan</v>
          </cell>
          <cell r="C1738" t="str">
            <v>BUILDING ROOTS</v>
          </cell>
          <cell r="D1738" t="str">
            <v>Steel Fixer</v>
          </cell>
        </row>
        <row r="1739">
          <cell r="A1739" t="str">
            <v>268256901</v>
          </cell>
          <cell r="B1739" t="str">
            <v>Musawar Khan</v>
          </cell>
          <cell r="C1739" t="str">
            <v>BUILDING ROOTS</v>
          </cell>
          <cell r="D1739" t="str">
            <v>Scaffolder</v>
          </cell>
        </row>
        <row r="1740">
          <cell r="A1740" t="str">
            <v>2364857764</v>
          </cell>
          <cell r="B1740" t="str">
            <v>Musheer</v>
          </cell>
          <cell r="C1740" t="str">
            <v>BUILDING ROOTS</v>
          </cell>
          <cell r="D1740" t="str">
            <v>Carpenter</v>
          </cell>
        </row>
        <row r="1741">
          <cell r="A1741" t="str">
            <v>2594782878</v>
          </cell>
          <cell r="B1741" t="str">
            <v>Musheer Ahmad</v>
          </cell>
          <cell r="C1741" t="str">
            <v>BUILDING ROOTS</v>
          </cell>
          <cell r="D1741" t="str">
            <v>Labour</v>
          </cell>
        </row>
        <row r="1742">
          <cell r="A1742" t="str">
            <v>2564909782</v>
          </cell>
          <cell r="B1742" t="str">
            <v>Muslim</v>
          </cell>
          <cell r="C1742" t="str">
            <v>BUILDING ROOTS</v>
          </cell>
          <cell r="D1742" t="str">
            <v>Carpenter</v>
          </cell>
        </row>
        <row r="1743">
          <cell r="A1743" t="str">
            <v>2615820475</v>
          </cell>
          <cell r="B1743" t="str">
            <v>Muslim Khan</v>
          </cell>
          <cell r="C1743" t="str">
            <v>BUILDING ROOTS</v>
          </cell>
          <cell r="D1743" t="str">
            <v>Scaffolder</v>
          </cell>
        </row>
        <row r="1744">
          <cell r="A1744" t="str">
            <v>2598539282</v>
          </cell>
          <cell r="B1744" t="str">
            <v>Mustafa</v>
          </cell>
          <cell r="C1744" t="str">
            <v>BUILDING ROOTS</v>
          </cell>
          <cell r="D1744" t="str">
            <v>Carpenter</v>
          </cell>
        </row>
        <row r="1745">
          <cell r="A1745" t="str">
            <v>1079914568</v>
          </cell>
          <cell r="B1745" t="str">
            <v>Mustafa Alsaeed</v>
          </cell>
          <cell r="C1745" t="str">
            <v>PRAINSA</v>
          </cell>
          <cell r="D1745" t="str">
            <v>Safety Officer</v>
          </cell>
        </row>
        <row r="1746">
          <cell r="A1746" t="str">
            <v>2164949311</v>
          </cell>
          <cell r="B1746" t="str">
            <v>Mustafa Hamood</v>
          </cell>
          <cell r="C1746" t="str">
            <v>BUILDING ROOTS</v>
          </cell>
          <cell r="D1746" t="str">
            <v>Supervisor</v>
          </cell>
        </row>
        <row r="1747">
          <cell r="A1747" t="str">
            <v>2448917514</v>
          </cell>
          <cell r="B1747" t="str">
            <v>Mustafa Razzaz</v>
          </cell>
          <cell r="C1747" t="str">
            <v>BUILDING ROOTS</v>
          </cell>
          <cell r="D1747" t="str">
            <v>Carpenter</v>
          </cell>
        </row>
        <row r="1748">
          <cell r="A1748" t="str">
            <v>2625091208</v>
          </cell>
          <cell r="B1748" t="str">
            <v>Mustakim Ahmed</v>
          </cell>
          <cell r="C1748" t="str">
            <v>ELITE HEART</v>
          </cell>
          <cell r="D1748" t="str">
            <v>Mason</v>
          </cell>
        </row>
        <row r="1749">
          <cell r="A1749" t="str">
            <v>2632425605</v>
          </cell>
          <cell r="B1749" t="str">
            <v>Mustansar</v>
          </cell>
          <cell r="C1749" t="str">
            <v>BUILDING ROOTS</v>
          </cell>
          <cell r="D1749" t="str">
            <v>Steel Fixer</v>
          </cell>
        </row>
        <row r="1750">
          <cell r="A1750" t="str">
            <v>2614338297</v>
          </cell>
          <cell r="B1750" t="str">
            <v>Mustaq</v>
          </cell>
          <cell r="C1750" t="str">
            <v>BUILDING ROOTS</v>
          </cell>
          <cell r="D1750" t="str">
            <v>Carpenter</v>
          </cell>
        </row>
        <row r="1751">
          <cell r="A1751" t="str">
            <v>2586529592</v>
          </cell>
          <cell r="B1751" t="str">
            <v>Mustofa</v>
          </cell>
          <cell r="C1751" t="str">
            <v>GLOBAL CASTLES</v>
          </cell>
          <cell r="D1751" t="str">
            <v>Labour</v>
          </cell>
        </row>
        <row r="1752">
          <cell r="A1752" t="str">
            <v>2447167070</v>
          </cell>
          <cell r="B1752" t="str">
            <v>Muth saif ahmed</v>
          </cell>
          <cell r="C1752" t="str">
            <v>BUILDING ROOTS</v>
          </cell>
          <cell r="D1752" t="str">
            <v>labor</v>
          </cell>
        </row>
        <row r="1753">
          <cell r="A1753" t="str">
            <v>2524804578</v>
          </cell>
          <cell r="B1753" t="str">
            <v>Muthiah Murugesan</v>
          </cell>
          <cell r="C1753" t="str">
            <v>ALMABANI CONT.</v>
          </cell>
          <cell r="D1753" t="str">
            <v>Senior Operator</v>
          </cell>
        </row>
        <row r="1754">
          <cell r="A1754" t="str">
            <v>2600374660</v>
          </cell>
          <cell r="B1754" t="str">
            <v>Muyad Naef</v>
          </cell>
          <cell r="C1754" t="str">
            <v>BUILDING ROOTS</v>
          </cell>
          <cell r="D1754" t="str">
            <v>Carpenter</v>
          </cell>
        </row>
        <row r="1755">
          <cell r="A1755" t="str">
            <v>2529434421</v>
          </cell>
          <cell r="B1755" t="str">
            <v>Muzammil</v>
          </cell>
          <cell r="C1755" t="str">
            <v>SAUDI BAUER</v>
          </cell>
          <cell r="D1755" t="str">
            <v>Rigger</v>
          </cell>
        </row>
        <row r="1756">
          <cell r="A1756" t="str">
            <v>255874776</v>
          </cell>
          <cell r="B1756" t="str">
            <v>Muzammil Farooq</v>
          </cell>
          <cell r="C1756" t="str">
            <v>BOUYGUES CONST.</v>
          </cell>
          <cell r="D1756" t="str">
            <v>Senior Accountant</v>
          </cell>
        </row>
        <row r="1757">
          <cell r="A1757" t="str">
            <v>2634656384</v>
          </cell>
          <cell r="B1757" t="str">
            <v>Nabawy tawfik</v>
          </cell>
          <cell r="C1757" t="str">
            <v>BUILDING ROOTS</v>
          </cell>
          <cell r="D1757" t="str">
            <v>Carpenter</v>
          </cell>
        </row>
        <row r="1758">
          <cell r="A1758" t="str">
            <v>253896008</v>
          </cell>
          <cell r="B1758" t="str">
            <v>Nabel</v>
          </cell>
          <cell r="C1758" t="str">
            <v>BUILDING ROOTS</v>
          </cell>
          <cell r="D1758" t="str">
            <v>Supervisor</v>
          </cell>
        </row>
        <row r="1759">
          <cell r="A1759" t="str">
            <v>2570170858</v>
          </cell>
          <cell r="B1759" t="str">
            <v>Nabil issa</v>
          </cell>
          <cell r="C1759" t="str">
            <v>AALICO</v>
          </cell>
          <cell r="D1759" t="str">
            <v>Project manager</v>
          </cell>
        </row>
        <row r="1760">
          <cell r="A1760" t="str">
            <v>2579095635</v>
          </cell>
          <cell r="B1760" t="str">
            <v>Nad Ullah Khan</v>
          </cell>
          <cell r="C1760" t="str">
            <v>SAUDI BAUER</v>
          </cell>
          <cell r="D1760" t="str">
            <v>Flagman</v>
          </cell>
        </row>
        <row r="1761">
          <cell r="A1761" t="str">
            <v>2544928621</v>
          </cell>
          <cell r="B1761" t="str">
            <v>Nadeem</v>
          </cell>
          <cell r="C1761" t="str">
            <v>BUILDING ROOTS</v>
          </cell>
          <cell r="D1761" t="str">
            <v>Surveyor</v>
          </cell>
        </row>
        <row r="1762">
          <cell r="A1762" t="str">
            <v>2522982889</v>
          </cell>
          <cell r="B1762" t="str">
            <v>Nadeem</v>
          </cell>
          <cell r="C1762" t="str">
            <v>ELITE HEART</v>
          </cell>
          <cell r="D1762" t="str">
            <v>Steel Fixer</v>
          </cell>
        </row>
        <row r="1763">
          <cell r="A1763" t="str">
            <v>2521830469</v>
          </cell>
          <cell r="B1763" t="str">
            <v>Nadeem</v>
          </cell>
          <cell r="C1763" t="str">
            <v>BUILDING ROOTS</v>
          </cell>
          <cell r="D1763" t="str">
            <v>Steel Fixer</v>
          </cell>
        </row>
        <row r="1764">
          <cell r="A1764" t="str">
            <v>2609686833</v>
          </cell>
          <cell r="B1764" t="str">
            <v>Nadeem</v>
          </cell>
          <cell r="C1764" t="str">
            <v>GLOBAL CASTLES</v>
          </cell>
          <cell r="D1764" t="str">
            <v>Steel Fixer</v>
          </cell>
        </row>
        <row r="1765">
          <cell r="A1765" t="str">
            <v>2593455609</v>
          </cell>
          <cell r="B1765" t="str">
            <v>Nadeem Ahmed</v>
          </cell>
          <cell r="C1765" t="str">
            <v>ELITE HEART</v>
          </cell>
          <cell r="D1765" t="str">
            <v>Mason</v>
          </cell>
        </row>
        <row r="1766">
          <cell r="A1766" t="str">
            <v>2588986048</v>
          </cell>
          <cell r="B1766" t="str">
            <v>Nadeem Ullah</v>
          </cell>
          <cell r="C1766" t="str">
            <v>BUILDING ROOTS</v>
          </cell>
          <cell r="D1766" t="str">
            <v>Surveyor</v>
          </cell>
        </row>
        <row r="1767">
          <cell r="A1767" t="str">
            <v>2579493681</v>
          </cell>
          <cell r="B1767" t="str">
            <v>Nadir Ullah</v>
          </cell>
          <cell r="C1767" t="str">
            <v>SAUDI BAUER</v>
          </cell>
          <cell r="D1767" t="str">
            <v>Rigger</v>
          </cell>
        </row>
        <row r="1768">
          <cell r="A1768" t="str">
            <v>2558650848</v>
          </cell>
          <cell r="B1768" t="str">
            <v>Naeem</v>
          </cell>
          <cell r="C1768" t="str">
            <v>BUILDING ROOTS</v>
          </cell>
          <cell r="D1768" t="str">
            <v>Steel Fixer</v>
          </cell>
        </row>
        <row r="1769">
          <cell r="A1769" t="str">
            <v>2598667877</v>
          </cell>
          <cell r="B1769" t="str">
            <v>Naeem Ul Haq</v>
          </cell>
          <cell r="C1769" t="str">
            <v>BUILDING ROOTS</v>
          </cell>
          <cell r="D1769" t="str">
            <v>Carpenter</v>
          </cell>
        </row>
        <row r="1770">
          <cell r="A1770" t="str">
            <v>2086963366</v>
          </cell>
          <cell r="B1770" t="str">
            <v>Naemullah</v>
          </cell>
          <cell r="C1770" t="str">
            <v>SAUDI BAUER</v>
          </cell>
          <cell r="D1770" t="str">
            <v>Foreman</v>
          </cell>
        </row>
        <row r="1771">
          <cell r="A1771" t="str">
            <v>2593484543</v>
          </cell>
          <cell r="B1771" t="str">
            <v>Nafid Ullah Alam</v>
          </cell>
          <cell r="C1771" t="str">
            <v>SAUDI BAUER</v>
          </cell>
          <cell r="D1771" t="str">
            <v>Flagman</v>
          </cell>
        </row>
        <row r="1772">
          <cell r="A1772" t="str">
            <v>2578617132</v>
          </cell>
          <cell r="B1772" t="str">
            <v>Nafis Ali</v>
          </cell>
          <cell r="C1772" t="str">
            <v>SAUDI BAUER</v>
          </cell>
          <cell r="D1772" t="str">
            <v>Driver</v>
          </cell>
        </row>
        <row r="1773">
          <cell r="A1773" t="str">
            <v>2465396600</v>
          </cell>
          <cell r="B1773" t="str">
            <v>Nageeb Ali</v>
          </cell>
          <cell r="C1773" t="str">
            <v>GULF MARK</v>
          </cell>
          <cell r="D1773" t="str">
            <v>Driver</v>
          </cell>
        </row>
        <row r="1774">
          <cell r="A1774" t="str">
            <v>2486937796</v>
          </cell>
          <cell r="B1774" t="str">
            <v>Nahid Ali</v>
          </cell>
          <cell r="C1774" t="str">
            <v>SAUDI BAUER</v>
          </cell>
          <cell r="D1774" t="str">
            <v>Foreman Lifting</v>
          </cell>
        </row>
        <row r="1775">
          <cell r="A1775" t="str">
            <v>1112852408</v>
          </cell>
          <cell r="B1775" t="str">
            <v>Naif Alharbi</v>
          </cell>
          <cell r="C1775" t="str">
            <v>BOUYGUES CONST.</v>
          </cell>
          <cell r="D1775" t="str">
            <v>Electrical Engineer</v>
          </cell>
        </row>
        <row r="1776">
          <cell r="A1776" t="str">
            <v>2567146507</v>
          </cell>
          <cell r="B1776" t="str">
            <v>Naif Qaid</v>
          </cell>
          <cell r="C1776" t="str">
            <v>ELITE HEART</v>
          </cell>
          <cell r="D1776" t="str">
            <v>Labour</v>
          </cell>
        </row>
        <row r="1777">
          <cell r="A1777" t="str">
            <v>2597388343</v>
          </cell>
          <cell r="B1777" t="str">
            <v>Naik Zada</v>
          </cell>
          <cell r="C1777" t="str">
            <v>ELITE HEART</v>
          </cell>
          <cell r="D1777" t="str">
            <v>Carpenter</v>
          </cell>
        </row>
        <row r="1778">
          <cell r="A1778" t="str">
            <v>2532746807</v>
          </cell>
          <cell r="B1778" t="str">
            <v>Naikwali</v>
          </cell>
          <cell r="C1778" t="str">
            <v>ELITE HEART</v>
          </cell>
          <cell r="D1778" t="str">
            <v>Steel Fixer</v>
          </cell>
        </row>
        <row r="1779">
          <cell r="A1779" t="str">
            <v>2539512331</v>
          </cell>
          <cell r="B1779" t="str">
            <v>Naiz Khan</v>
          </cell>
          <cell r="C1779" t="str">
            <v>SAUDI BAUER</v>
          </cell>
          <cell r="D1779" t="str">
            <v>Rigger</v>
          </cell>
        </row>
        <row r="1780">
          <cell r="A1780" t="str">
            <v>2159984075</v>
          </cell>
          <cell r="B1780" t="str">
            <v>Najabzar</v>
          </cell>
          <cell r="C1780" t="str">
            <v>BUILDING ROOTS</v>
          </cell>
          <cell r="D1780" t="str">
            <v>Carpenter</v>
          </cell>
        </row>
        <row r="1781">
          <cell r="A1781" t="str">
            <v>2260750126</v>
          </cell>
          <cell r="B1781" t="str">
            <v>Najeb Al Shnaeef</v>
          </cell>
          <cell r="C1781" t="str">
            <v>ALMABANI CONT.</v>
          </cell>
          <cell r="D1781" t="str">
            <v>Supervisor</v>
          </cell>
        </row>
        <row r="1782">
          <cell r="A1782" t="str">
            <v>2609302803</v>
          </cell>
          <cell r="B1782" t="str">
            <v>Najeeb Khan</v>
          </cell>
          <cell r="C1782" t="str">
            <v>BUILDING ROOTS</v>
          </cell>
          <cell r="D1782" t="str">
            <v>Labour</v>
          </cell>
        </row>
        <row r="1783">
          <cell r="A1783" t="str">
            <v>2532653991</v>
          </cell>
          <cell r="B1783" t="str">
            <v>Najeeb Ullah</v>
          </cell>
          <cell r="C1783" t="str">
            <v>BUILDING ROOTS</v>
          </cell>
          <cell r="D1783" t="str">
            <v>Labour</v>
          </cell>
        </row>
        <row r="1784">
          <cell r="A1784" t="str">
            <v>2484773540</v>
          </cell>
          <cell r="B1784" t="str">
            <v>Najeeb Zada</v>
          </cell>
          <cell r="C1784" t="str">
            <v>BUILDING ROOTS</v>
          </cell>
          <cell r="D1784" t="str">
            <v>Foreman</v>
          </cell>
        </row>
        <row r="1785">
          <cell r="A1785" t="str">
            <v>2555889613</v>
          </cell>
          <cell r="B1785" t="str">
            <v>Najeed ullah</v>
          </cell>
          <cell r="C1785" t="str">
            <v>AALICO</v>
          </cell>
          <cell r="D1785" t="str">
            <v>Flagman</v>
          </cell>
        </row>
        <row r="1786">
          <cell r="A1786" t="str">
            <v>2613351846</v>
          </cell>
          <cell r="B1786" t="str">
            <v>Najid Rahim</v>
          </cell>
          <cell r="C1786" t="str">
            <v>SAUDI BAUER</v>
          </cell>
          <cell r="D1786" t="str">
            <v>Helper</v>
          </cell>
        </row>
        <row r="1787">
          <cell r="A1787" t="str">
            <v>2563370661</v>
          </cell>
          <cell r="B1787" t="str">
            <v>Najm Uddin</v>
          </cell>
          <cell r="C1787" t="str">
            <v>GULF MARK</v>
          </cell>
          <cell r="D1787" t="str">
            <v>Steel Fixer</v>
          </cell>
        </row>
        <row r="1788">
          <cell r="A1788" t="str">
            <v>2565370661</v>
          </cell>
          <cell r="B1788" t="str">
            <v>Najm Uddin</v>
          </cell>
          <cell r="C1788" t="str">
            <v>GLOBAL CASTLES</v>
          </cell>
          <cell r="D1788" t="str">
            <v>Steel Fixer</v>
          </cell>
        </row>
        <row r="1789">
          <cell r="A1789" t="str">
            <v>2595023264</v>
          </cell>
          <cell r="B1789" t="str">
            <v>Najmul Hassan</v>
          </cell>
          <cell r="C1789" t="str">
            <v>BUILDING ROOTS</v>
          </cell>
          <cell r="D1789" t="str">
            <v>Scaffolder</v>
          </cell>
        </row>
        <row r="1790">
          <cell r="A1790" t="str">
            <v>2594362606</v>
          </cell>
          <cell r="B1790" t="str">
            <v>Najn Hussain</v>
          </cell>
          <cell r="C1790" t="str">
            <v>ELITE HEART</v>
          </cell>
          <cell r="D1790" t="str">
            <v>Steel Fixer</v>
          </cell>
        </row>
        <row r="1791">
          <cell r="A1791" t="str">
            <v>2440351688</v>
          </cell>
          <cell r="B1791" t="str">
            <v>Namdar Muhammad</v>
          </cell>
          <cell r="C1791" t="str">
            <v>ALMABANI CONT.</v>
          </cell>
          <cell r="D1791" t="str">
            <v>Plumber</v>
          </cell>
        </row>
        <row r="1792">
          <cell r="A1792" t="str">
            <v>2602961298</v>
          </cell>
          <cell r="B1792" t="str">
            <v>Naqib</v>
          </cell>
          <cell r="C1792" t="str">
            <v>ELITE HEART</v>
          </cell>
          <cell r="D1792" t="str">
            <v>Helper</v>
          </cell>
        </row>
        <row r="1793">
          <cell r="A1793" t="str">
            <v>2611767522</v>
          </cell>
          <cell r="B1793" t="str">
            <v>Narul</v>
          </cell>
          <cell r="C1793" t="str">
            <v>GLOBAL CASTLES</v>
          </cell>
          <cell r="D1793" t="str">
            <v>Labour</v>
          </cell>
        </row>
        <row r="1794">
          <cell r="A1794" t="str">
            <v>2193745847</v>
          </cell>
          <cell r="B1794" t="str">
            <v>Nasar Iqbal Sahifaiz</v>
          </cell>
          <cell r="C1794" t="str">
            <v>BUILDING ROOTS</v>
          </cell>
          <cell r="D1794" t="str">
            <v>Foreman</v>
          </cell>
        </row>
        <row r="1795">
          <cell r="A1795" t="str">
            <v>2472606766</v>
          </cell>
          <cell r="B1795" t="str">
            <v>Naseb Ullah</v>
          </cell>
          <cell r="C1795" t="str">
            <v>GULF MARK</v>
          </cell>
          <cell r="D1795" t="str">
            <v>-</v>
          </cell>
        </row>
        <row r="1796">
          <cell r="A1796" t="str">
            <v>2616611899</v>
          </cell>
          <cell r="B1796" t="str">
            <v>Naseeb Ullah</v>
          </cell>
          <cell r="C1796" t="str">
            <v>ELITE HEART</v>
          </cell>
          <cell r="D1796" t="str">
            <v>Steel Fixer</v>
          </cell>
        </row>
        <row r="1797">
          <cell r="A1797" t="str">
            <v>2553601176</v>
          </cell>
          <cell r="B1797" t="str">
            <v>Naseeb ullah khan</v>
          </cell>
          <cell r="C1797" t="str">
            <v>NFT</v>
          </cell>
          <cell r="D1797" t="str">
            <v>Tower crane operator</v>
          </cell>
        </row>
        <row r="1798">
          <cell r="A1798" t="str">
            <v>2589461207</v>
          </cell>
          <cell r="B1798" t="str">
            <v>Naseem muhammed</v>
          </cell>
          <cell r="C1798" t="str">
            <v>BUILDING ROOTS</v>
          </cell>
          <cell r="D1798" t="str">
            <v>labor</v>
          </cell>
        </row>
        <row r="1799">
          <cell r="A1799" t="str">
            <v>2292720360</v>
          </cell>
          <cell r="B1799" t="str">
            <v>Naseer</v>
          </cell>
          <cell r="C1799" t="str">
            <v>ALMABANI CONT.</v>
          </cell>
          <cell r="D1799" t="str">
            <v>Foreman</v>
          </cell>
        </row>
        <row r="1800">
          <cell r="A1800" t="str">
            <v>2576242446</v>
          </cell>
          <cell r="B1800" t="str">
            <v>Naseer Ahmed</v>
          </cell>
          <cell r="C1800" t="str">
            <v>BUILDING ROOTS</v>
          </cell>
          <cell r="D1800" t="str">
            <v>Steel Fixer</v>
          </cell>
        </row>
        <row r="1801">
          <cell r="A1801" t="str">
            <v>2352651679</v>
          </cell>
          <cell r="B1801" t="str">
            <v>Naseer Ahmed</v>
          </cell>
          <cell r="C1801" t="str">
            <v>BUILDING ROOTS</v>
          </cell>
          <cell r="D1801" t="str">
            <v>Steel Fixer</v>
          </cell>
        </row>
        <row r="1802">
          <cell r="A1802" t="str">
            <v>2625595786</v>
          </cell>
          <cell r="B1802" t="str">
            <v>Naser Abdulraqeb Mahyoub</v>
          </cell>
          <cell r="C1802" t="str">
            <v>BUILDING ROOTS</v>
          </cell>
          <cell r="D1802" t="str">
            <v>Carpenter</v>
          </cell>
        </row>
        <row r="1803">
          <cell r="A1803" t="str">
            <v>2602262160</v>
          </cell>
          <cell r="B1803" t="str">
            <v>Naser Salem</v>
          </cell>
          <cell r="C1803" t="str">
            <v>ELITE HEART</v>
          </cell>
          <cell r="D1803" t="str">
            <v>Skid Loader Operator</v>
          </cell>
        </row>
        <row r="1804">
          <cell r="A1804" t="str">
            <v>2618409839</v>
          </cell>
          <cell r="B1804" t="str">
            <v>Naser allah</v>
          </cell>
          <cell r="C1804" t="str">
            <v>BUILDING ROOTS</v>
          </cell>
          <cell r="D1804" t="str">
            <v>Carpenter</v>
          </cell>
        </row>
        <row r="1805">
          <cell r="A1805" t="str">
            <v>2538479482</v>
          </cell>
          <cell r="B1805" t="str">
            <v>Nasim Ullah</v>
          </cell>
          <cell r="C1805" t="str">
            <v>SAUDI BAUER</v>
          </cell>
          <cell r="D1805" t="str">
            <v>Helper</v>
          </cell>
        </row>
        <row r="1806">
          <cell r="A1806" t="str">
            <v>2607703622</v>
          </cell>
          <cell r="B1806" t="str">
            <v>Nasir</v>
          </cell>
          <cell r="C1806" t="str">
            <v>ELITE HEART</v>
          </cell>
          <cell r="D1806" t="str">
            <v>Labour</v>
          </cell>
        </row>
        <row r="1807">
          <cell r="A1807" t="str">
            <v>2587157864</v>
          </cell>
          <cell r="B1807" t="str">
            <v>Nasir</v>
          </cell>
          <cell r="C1807" t="str">
            <v>BUILDING ROOTS</v>
          </cell>
          <cell r="D1807" t="str">
            <v>Steel Fixer</v>
          </cell>
        </row>
        <row r="1808">
          <cell r="A1808" t="str">
            <v>2610473106</v>
          </cell>
          <cell r="B1808" t="str">
            <v>Nasir</v>
          </cell>
          <cell r="C1808" t="str">
            <v>ELITE HEART</v>
          </cell>
          <cell r="D1808" t="str">
            <v>Steel Fixer</v>
          </cell>
        </row>
        <row r="1809">
          <cell r="A1809" t="str">
            <v>2388445161</v>
          </cell>
          <cell r="B1809" t="str">
            <v>Nasir Hussain</v>
          </cell>
          <cell r="C1809" t="str">
            <v>SAUDI BAUER</v>
          </cell>
          <cell r="D1809" t="str">
            <v>Wheel Loader Operator</v>
          </cell>
        </row>
        <row r="1810">
          <cell r="A1810" t="str">
            <v>2434748477</v>
          </cell>
          <cell r="B1810" t="str">
            <v>Nasir Uddin</v>
          </cell>
          <cell r="C1810" t="str">
            <v>BUILDING ROOTS</v>
          </cell>
          <cell r="D1810" t="str">
            <v>Welder</v>
          </cell>
        </row>
        <row r="1811">
          <cell r="A1811" t="str">
            <v>2527888537</v>
          </cell>
          <cell r="B1811" t="str">
            <v>Nasir ahmad</v>
          </cell>
          <cell r="C1811" t="str">
            <v>AALICO</v>
          </cell>
          <cell r="D1811" t="str">
            <v>labor</v>
          </cell>
        </row>
        <row r="1812">
          <cell r="A1812" t="str">
            <v>2312136548</v>
          </cell>
          <cell r="B1812" t="str">
            <v>Nassar Ahmed</v>
          </cell>
          <cell r="C1812" t="str">
            <v>TARIF ARABIAN</v>
          </cell>
          <cell r="D1812" t="str">
            <v>Dump Truck Driver</v>
          </cell>
        </row>
        <row r="1813">
          <cell r="A1813" t="str">
            <v>2322716438</v>
          </cell>
          <cell r="B1813" t="str">
            <v>Naveed Aslam</v>
          </cell>
          <cell r="C1813" t="str">
            <v>SAUDI BAUER</v>
          </cell>
          <cell r="D1813" t="str">
            <v>Flagman</v>
          </cell>
        </row>
        <row r="1814">
          <cell r="A1814" t="str">
            <v>2621058789</v>
          </cell>
          <cell r="B1814" t="str">
            <v>Naveed Mukhtar</v>
          </cell>
          <cell r="C1814" t="str">
            <v>ELITE HEART</v>
          </cell>
          <cell r="D1814" t="str">
            <v>Steel Fixer</v>
          </cell>
        </row>
        <row r="1815">
          <cell r="A1815" t="str">
            <v>2549612105</v>
          </cell>
          <cell r="B1815" t="str">
            <v>Naveed khan</v>
          </cell>
          <cell r="C1815" t="str">
            <v>JV Rental</v>
          </cell>
          <cell r="D1815" t="str">
            <v>Flagman</v>
          </cell>
        </row>
        <row r="1816">
          <cell r="A1816" t="str">
            <v>2544691575</v>
          </cell>
          <cell r="B1816" t="str">
            <v>Nawab Ali</v>
          </cell>
          <cell r="C1816" t="str">
            <v>ELITE HEART</v>
          </cell>
          <cell r="D1816" t="str">
            <v>Scaffolder</v>
          </cell>
        </row>
        <row r="1817">
          <cell r="A1817" t="str">
            <v>2594208846</v>
          </cell>
          <cell r="B1817" t="str">
            <v>Nawaf Faisal</v>
          </cell>
          <cell r="C1817" t="str">
            <v>BUILDING ROOTS</v>
          </cell>
          <cell r="D1817" t="str">
            <v>Carpenter</v>
          </cell>
        </row>
        <row r="1818">
          <cell r="A1818" t="str">
            <v>2513332037</v>
          </cell>
          <cell r="B1818" t="str">
            <v>Nawaf Naji</v>
          </cell>
          <cell r="C1818" t="str">
            <v>BUILDING ROOTS</v>
          </cell>
          <cell r="D1818" t="str">
            <v>Bobcat Operator</v>
          </cell>
        </row>
        <row r="1819">
          <cell r="A1819" t="str">
            <v>2550286906</v>
          </cell>
          <cell r="B1819" t="str">
            <v>Nawajish Khan</v>
          </cell>
          <cell r="C1819" t="str">
            <v>TAMIMI</v>
          </cell>
          <cell r="D1819" t="str">
            <v>Electrician</v>
          </cell>
        </row>
        <row r="1820">
          <cell r="A1820" t="str">
            <v>2535305961</v>
          </cell>
          <cell r="B1820" t="str">
            <v>Nawaz</v>
          </cell>
          <cell r="C1820" t="str">
            <v>ALMABANI CONT.</v>
          </cell>
          <cell r="D1820" t="str">
            <v>Electrician</v>
          </cell>
        </row>
        <row r="1821">
          <cell r="A1821" t="str">
            <v>2481310379</v>
          </cell>
          <cell r="B1821" t="str">
            <v>Nawaz</v>
          </cell>
          <cell r="C1821" t="str">
            <v>BUILDING ROOTS</v>
          </cell>
          <cell r="D1821" t="str">
            <v>Carpenter</v>
          </cell>
        </row>
        <row r="1822">
          <cell r="A1822" t="str">
            <v>2538323508</v>
          </cell>
          <cell r="B1822" t="str">
            <v>Nawazish</v>
          </cell>
          <cell r="C1822" t="str">
            <v>ELITE HEART</v>
          </cell>
          <cell r="D1822" t="str">
            <v>Surveyor</v>
          </cell>
        </row>
        <row r="1823">
          <cell r="A1823" t="str">
            <v>2487704922</v>
          </cell>
          <cell r="B1823" t="str">
            <v>Nawazish Ali</v>
          </cell>
          <cell r="C1823" t="str">
            <v>BUILDING ROOTS</v>
          </cell>
          <cell r="D1823" t="str">
            <v>Steel Fixer</v>
          </cell>
        </row>
        <row r="1824">
          <cell r="A1824" t="str">
            <v>2606989909</v>
          </cell>
          <cell r="B1824" t="str">
            <v>Nayem</v>
          </cell>
          <cell r="C1824" t="str">
            <v>BUILDING ROOTS</v>
          </cell>
          <cell r="D1824" t="str">
            <v>Steel Fixer</v>
          </cell>
        </row>
        <row r="1825">
          <cell r="A1825" t="str">
            <v>2589275722</v>
          </cell>
          <cell r="B1825" t="str">
            <v>Naz Muhammad</v>
          </cell>
          <cell r="C1825" t="str">
            <v>BUILDING ROOTS</v>
          </cell>
          <cell r="D1825" t="str">
            <v>Carpenter</v>
          </cell>
        </row>
        <row r="1826">
          <cell r="A1826" t="str">
            <v>2600318055</v>
          </cell>
          <cell r="B1826" t="str">
            <v>Nazar Khan</v>
          </cell>
          <cell r="C1826" t="str">
            <v>SAUDI BAUER</v>
          </cell>
          <cell r="D1826" t="str">
            <v>Helper</v>
          </cell>
        </row>
        <row r="1827">
          <cell r="A1827" t="str">
            <v>2619457738</v>
          </cell>
          <cell r="B1827" t="str">
            <v>Nazeer Jan</v>
          </cell>
          <cell r="C1827" t="str">
            <v>BUILDING ROOTS</v>
          </cell>
          <cell r="D1827" t="str">
            <v>Carpenter</v>
          </cell>
        </row>
        <row r="1828">
          <cell r="A1828" t="str">
            <v>2535839811</v>
          </cell>
          <cell r="B1828" t="str">
            <v>Nazih Ishak</v>
          </cell>
          <cell r="C1828" t="str">
            <v>ALMABANI CONT.</v>
          </cell>
          <cell r="D1828" t="str">
            <v>Civil</v>
          </cell>
        </row>
        <row r="1829">
          <cell r="A1829" t="str">
            <v>2531639264</v>
          </cell>
          <cell r="B1829" t="str">
            <v>Nazih Sleiman Shamseddine</v>
          </cell>
          <cell r="C1829" t="str">
            <v>ALMABANI CONT.</v>
          </cell>
          <cell r="D1829" t="str">
            <v>General Foreman</v>
          </cell>
        </row>
        <row r="1830">
          <cell r="A1830" t="str">
            <v>2588950986</v>
          </cell>
          <cell r="B1830" t="str">
            <v>Nazim Uddin</v>
          </cell>
          <cell r="C1830" t="str">
            <v>ELITE HEART</v>
          </cell>
          <cell r="D1830" t="str">
            <v>Mason</v>
          </cell>
        </row>
        <row r="1831">
          <cell r="A1831" t="str">
            <v>2493275024</v>
          </cell>
          <cell r="B1831" t="str">
            <v>Nazimuddin</v>
          </cell>
          <cell r="C1831" t="str">
            <v>WAVES TELECOM</v>
          </cell>
          <cell r="D1831" t="str">
            <v>It</v>
          </cell>
        </row>
        <row r="1832">
          <cell r="A1832" t="str">
            <v>2551959006</v>
          </cell>
          <cell r="B1832" t="str">
            <v>Nazir Ahamd</v>
          </cell>
          <cell r="C1832" t="str">
            <v>AL FAL HOUSE</v>
          </cell>
          <cell r="D1832" t="str">
            <v>Labour</v>
          </cell>
        </row>
        <row r="1833">
          <cell r="A1833" t="str">
            <v>2535208082</v>
          </cell>
          <cell r="B1833" t="str">
            <v>Nazir Ahmed</v>
          </cell>
          <cell r="C1833" t="str">
            <v>BUILDING ROOTS</v>
          </cell>
          <cell r="D1833" t="str">
            <v>Steel Fixer</v>
          </cell>
        </row>
        <row r="1834">
          <cell r="A1834" t="str">
            <v>2602149672</v>
          </cell>
          <cell r="B1834" t="str">
            <v>Nazir Rahman</v>
          </cell>
          <cell r="C1834" t="str">
            <v>BUILDING ROOTS</v>
          </cell>
          <cell r="D1834" t="str">
            <v>Carpenter</v>
          </cell>
        </row>
        <row r="1835">
          <cell r="A1835" t="str">
            <v>2542312000</v>
          </cell>
          <cell r="B1835" t="str">
            <v>Nazirullah Latif</v>
          </cell>
          <cell r="C1835" t="str">
            <v>SAUDI BAUER</v>
          </cell>
          <cell r="D1835" t="str">
            <v>Helper</v>
          </cell>
        </row>
        <row r="1836">
          <cell r="A1836" t="str">
            <v>2621143722</v>
          </cell>
          <cell r="B1836" t="str">
            <v>Nazmul hasan</v>
          </cell>
          <cell r="C1836" t="str">
            <v>ARABIAN TOWER</v>
          </cell>
          <cell r="D1836" t="str">
            <v>Erector</v>
          </cell>
        </row>
        <row r="1837">
          <cell r="A1837" t="str">
            <v>2517747636</v>
          </cell>
          <cell r="B1837" t="str">
            <v>Nazrul Islam</v>
          </cell>
          <cell r="C1837" t="str">
            <v>BUILDING ROOTS</v>
          </cell>
          <cell r="D1837" t="str">
            <v>Scaffolder</v>
          </cell>
        </row>
        <row r="1838">
          <cell r="A1838" t="str">
            <v>2575406927</v>
          </cell>
          <cell r="B1838" t="str">
            <v>Nazrul Islam</v>
          </cell>
          <cell r="C1838" t="str">
            <v>GLOBAL CASTLES</v>
          </cell>
          <cell r="D1838" t="str">
            <v>Steel Fixer</v>
          </cell>
        </row>
        <row r="1839">
          <cell r="A1839" t="str">
            <v>2153537531</v>
          </cell>
          <cell r="B1839" t="str">
            <v>Nazrul Khan</v>
          </cell>
          <cell r="C1839" t="str">
            <v>IDEA AND FLOW</v>
          </cell>
          <cell r="D1839" t="str">
            <v>Labour</v>
          </cell>
        </row>
        <row r="1840">
          <cell r="A1840" t="str">
            <v>1091553253</v>
          </cell>
          <cell r="B1840" t="str">
            <v>Need To Change I</v>
          </cell>
          <cell r="C1840" t="str">
            <v>BOUYGUES CONST.</v>
          </cell>
          <cell r="D1840" t="str">
            <v>Site Engineer</v>
          </cell>
        </row>
        <row r="1841">
          <cell r="A1841" t="str">
            <v>1129283352</v>
          </cell>
          <cell r="B1841" t="str">
            <v>Need To Change Ii</v>
          </cell>
          <cell r="C1841" t="str">
            <v>BOUYGUES CONST.</v>
          </cell>
          <cell r="D1841" t="str">
            <v>Supervisor</v>
          </cell>
        </row>
        <row r="1842">
          <cell r="A1842" t="str">
            <v>2343525057</v>
          </cell>
          <cell r="B1842" t="str">
            <v>Nehal ahmed</v>
          </cell>
          <cell r="C1842" t="str">
            <v>MACE</v>
          </cell>
          <cell r="D1842" t="str">
            <v>Commercial manager</v>
          </cell>
        </row>
        <row r="1843">
          <cell r="A1843" t="str">
            <v>2534566332</v>
          </cell>
          <cell r="B1843" t="str">
            <v>Neromuceno</v>
          </cell>
          <cell r="C1843" t="str">
            <v>JV (BBI-AGC)</v>
          </cell>
          <cell r="D1843" t="str">
            <v>Bim Coordinator</v>
          </cell>
        </row>
        <row r="1844">
          <cell r="A1844" t="str">
            <v>2604254017</v>
          </cell>
          <cell r="B1844" t="str">
            <v>Neseem</v>
          </cell>
          <cell r="C1844" t="str">
            <v>BUILDING ROOTS</v>
          </cell>
          <cell r="D1844" t="str">
            <v>Carpenter</v>
          </cell>
        </row>
        <row r="1845">
          <cell r="A1845" t="str">
            <v>2522659305</v>
          </cell>
          <cell r="B1845" t="str">
            <v>Neshar</v>
          </cell>
          <cell r="C1845" t="str">
            <v>ALMABANI CONT.</v>
          </cell>
          <cell r="D1845" t="str">
            <v>Painter</v>
          </cell>
        </row>
        <row r="1846">
          <cell r="A1846" t="str">
            <v>2626495903</v>
          </cell>
          <cell r="B1846" t="str">
            <v>Niamat Ullah</v>
          </cell>
          <cell r="C1846" t="str">
            <v>GLOBAL CASTLES</v>
          </cell>
          <cell r="D1846" t="str">
            <v>Steel Fixer</v>
          </cell>
        </row>
        <row r="1847">
          <cell r="A1847" t="str">
            <v>2529878809</v>
          </cell>
          <cell r="B1847" t="str">
            <v>Niaz</v>
          </cell>
          <cell r="C1847" t="str">
            <v>BUILDING ROOTS</v>
          </cell>
          <cell r="D1847" t="str">
            <v>Labor</v>
          </cell>
        </row>
        <row r="1848">
          <cell r="A1848" t="str">
            <v>2627510502</v>
          </cell>
          <cell r="B1848" t="str">
            <v>Niaz Ali</v>
          </cell>
          <cell r="C1848" t="str">
            <v>BUILDING ROOTS</v>
          </cell>
          <cell r="D1848" t="str">
            <v>Carpenter</v>
          </cell>
        </row>
        <row r="1849">
          <cell r="A1849" t="str">
            <v>2559794512</v>
          </cell>
          <cell r="B1849" t="str">
            <v>Niaz Mohamed</v>
          </cell>
          <cell r="C1849" t="str">
            <v>BUILDING ROOTS</v>
          </cell>
          <cell r="D1849" t="str">
            <v>Labour</v>
          </cell>
        </row>
        <row r="1850">
          <cell r="A1850" t="str">
            <v>2608256828</v>
          </cell>
          <cell r="B1850" t="str">
            <v>Niaz Ullah</v>
          </cell>
          <cell r="C1850" t="str">
            <v>BUILDING ROOTS</v>
          </cell>
          <cell r="D1850" t="str">
            <v>Labour</v>
          </cell>
        </row>
        <row r="1851">
          <cell r="A1851" t="str">
            <v>2524809718</v>
          </cell>
          <cell r="B1851" t="str">
            <v>Nilesh Kumar</v>
          </cell>
          <cell r="C1851" t="str">
            <v>ALMABANI CONT.</v>
          </cell>
          <cell r="D1851" t="str">
            <v>Senior Operator</v>
          </cell>
        </row>
        <row r="1852">
          <cell r="A1852" t="str">
            <v>2614026868</v>
          </cell>
          <cell r="B1852" t="str">
            <v>Nisar Ullah</v>
          </cell>
          <cell r="C1852" t="str">
            <v>BUILDING ROOTS</v>
          </cell>
          <cell r="D1852" t="str">
            <v>Labour</v>
          </cell>
        </row>
        <row r="1853">
          <cell r="A1853" t="str">
            <v>2614626868</v>
          </cell>
          <cell r="B1853" t="str">
            <v>Nisar Ullah</v>
          </cell>
          <cell r="C1853" t="str">
            <v>BUILDING ROOTS</v>
          </cell>
          <cell r="D1853" t="str">
            <v>Steel Fixer</v>
          </cell>
        </row>
        <row r="1854">
          <cell r="A1854" t="str">
            <v>2598976666</v>
          </cell>
          <cell r="B1854" t="str">
            <v>Nisar ahmed</v>
          </cell>
          <cell r="C1854" t="str">
            <v>BUILDING ROOTS</v>
          </cell>
          <cell r="D1854" t="str">
            <v>Carpenter</v>
          </cell>
        </row>
        <row r="1855">
          <cell r="A1855" t="str">
            <v>2630453062</v>
          </cell>
          <cell r="B1855" t="str">
            <v>Nishanth</v>
          </cell>
          <cell r="C1855" t="str">
            <v>PRAINSA</v>
          </cell>
          <cell r="D1855" t="str">
            <v>Labour</v>
          </cell>
        </row>
        <row r="1856">
          <cell r="A1856" t="str">
            <v>2574885907</v>
          </cell>
          <cell r="B1856" t="str">
            <v>Niyamul</v>
          </cell>
          <cell r="C1856" t="str">
            <v>BUILDING ROOTS</v>
          </cell>
          <cell r="D1856" t="str">
            <v>Steel Fixer</v>
          </cell>
        </row>
        <row r="1857">
          <cell r="A1857" t="str">
            <v>2545853026</v>
          </cell>
          <cell r="B1857" t="str">
            <v>Nizam Hossain</v>
          </cell>
          <cell r="C1857" t="str">
            <v>TAMIMI</v>
          </cell>
          <cell r="D1857" t="str">
            <v>Technician</v>
          </cell>
        </row>
        <row r="1858">
          <cell r="A1858" t="str">
            <v>2534421827</v>
          </cell>
          <cell r="B1858" t="str">
            <v>Nizam Hussain</v>
          </cell>
          <cell r="C1858" t="str">
            <v>HIMATRIX</v>
          </cell>
          <cell r="D1858" t="str">
            <v>Technician</v>
          </cell>
        </row>
        <row r="1859">
          <cell r="A1859" t="str">
            <v>2526771569</v>
          </cell>
          <cell r="B1859" t="str">
            <v>Nizam Ud Din</v>
          </cell>
          <cell r="C1859" t="str">
            <v>ELITE HEART</v>
          </cell>
          <cell r="D1859" t="str">
            <v>Carpenter</v>
          </cell>
        </row>
        <row r="1860">
          <cell r="A1860" t="str">
            <v>2625292202</v>
          </cell>
          <cell r="B1860" t="str">
            <v>Nizam Uddin</v>
          </cell>
          <cell r="C1860" t="str">
            <v>BUILDING ROOTS</v>
          </cell>
          <cell r="D1860" t="str">
            <v>Carpenter</v>
          </cell>
        </row>
        <row r="1861">
          <cell r="A1861" t="str">
            <v>2629872835</v>
          </cell>
          <cell r="B1861" t="str">
            <v>Nobin</v>
          </cell>
          <cell r="C1861" t="str">
            <v>ANNAQ</v>
          </cell>
          <cell r="D1861" t="str">
            <v>Labor</v>
          </cell>
        </row>
        <row r="1862">
          <cell r="A1862" t="str">
            <v>2557064140</v>
          </cell>
          <cell r="B1862" t="str">
            <v>Noor</v>
          </cell>
          <cell r="C1862" t="str">
            <v>SAUDI BAUER</v>
          </cell>
          <cell r="D1862" t="str">
            <v>Lifting Supervisor</v>
          </cell>
        </row>
        <row r="1863">
          <cell r="A1863" t="str">
            <v>2404589588</v>
          </cell>
          <cell r="B1863" t="str">
            <v>Noor Badshah</v>
          </cell>
          <cell r="C1863" t="str">
            <v>BUILDING ROOTS</v>
          </cell>
          <cell r="D1863" t="str">
            <v>Driver</v>
          </cell>
        </row>
        <row r="1864">
          <cell r="A1864" t="str">
            <v>2601764885</v>
          </cell>
          <cell r="B1864" t="str">
            <v>Noor Faraz</v>
          </cell>
          <cell r="C1864" t="str">
            <v>BUILDING ROOTS</v>
          </cell>
          <cell r="D1864" t="str">
            <v>Carpenter</v>
          </cell>
        </row>
        <row r="1865">
          <cell r="A1865" t="str">
            <v>2589743745</v>
          </cell>
          <cell r="B1865" t="str">
            <v>Noor Mat Ullah</v>
          </cell>
          <cell r="C1865" t="str">
            <v>ELITE HEART</v>
          </cell>
          <cell r="D1865" t="str">
            <v>Steel Fixer</v>
          </cell>
        </row>
        <row r="1866">
          <cell r="A1866" t="str">
            <v>2624538654</v>
          </cell>
          <cell r="B1866" t="str">
            <v>Noor Qadayaz</v>
          </cell>
          <cell r="C1866" t="str">
            <v>ELITE HEART</v>
          </cell>
          <cell r="D1866" t="str">
            <v>Steel Fixer</v>
          </cell>
        </row>
        <row r="1867">
          <cell r="A1867" t="str">
            <v>2595454873</v>
          </cell>
          <cell r="B1867" t="str">
            <v>Noor Rehman</v>
          </cell>
          <cell r="C1867" t="str">
            <v>SAUDI BAUER</v>
          </cell>
          <cell r="D1867" t="str">
            <v>Helper</v>
          </cell>
        </row>
        <row r="1868">
          <cell r="A1868" t="str">
            <v>2546545381</v>
          </cell>
          <cell r="B1868" t="str">
            <v>Noor Ul Abrar</v>
          </cell>
          <cell r="C1868" t="str">
            <v>IDEA AND FLOW</v>
          </cell>
          <cell r="D1868" t="str">
            <v>Site Engineer</v>
          </cell>
        </row>
        <row r="1869">
          <cell r="A1869" t="str">
            <v>624619058</v>
          </cell>
          <cell r="B1869" t="str">
            <v>Noor Zaman</v>
          </cell>
          <cell r="C1869" t="str">
            <v>ELITE HEART</v>
          </cell>
          <cell r="D1869" t="str">
            <v>Mason</v>
          </cell>
        </row>
        <row r="1870">
          <cell r="A1870" t="str">
            <v>2360015164</v>
          </cell>
          <cell r="B1870" t="str">
            <v>Noorul</v>
          </cell>
          <cell r="C1870" t="str">
            <v>ALMABANI CONT.</v>
          </cell>
          <cell r="D1870" t="str">
            <v>Electrician</v>
          </cell>
        </row>
        <row r="1871">
          <cell r="A1871" t="str">
            <v>2608484486</v>
          </cell>
          <cell r="B1871" t="str">
            <v>Nor haj</v>
          </cell>
          <cell r="C1871" t="str">
            <v>BUILDING ROOTS</v>
          </cell>
          <cell r="D1871" t="str">
            <v>Carpenter</v>
          </cell>
        </row>
        <row r="1872">
          <cell r="A1872" t="str">
            <v>2624966806</v>
          </cell>
          <cell r="B1872" t="str">
            <v>Nor mohammad</v>
          </cell>
          <cell r="C1872" t="str">
            <v>GLOBAL CASTLE</v>
          </cell>
          <cell r="D1872" t="str">
            <v>Carpenter</v>
          </cell>
        </row>
        <row r="1873">
          <cell r="A1873" t="str">
            <v>2619084136</v>
          </cell>
          <cell r="B1873" t="str">
            <v>Nosharwan</v>
          </cell>
          <cell r="C1873" t="str">
            <v>BUILDING ROOTS</v>
          </cell>
          <cell r="D1873" t="str">
            <v>Labour</v>
          </cell>
        </row>
        <row r="1874">
          <cell r="A1874" t="str">
            <v>2615950272</v>
          </cell>
          <cell r="B1874" t="str">
            <v>Nouman</v>
          </cell>
          <cell r="C1874" t="str">
            <v>ALMABANI CONT.</v>
          </cell>
          <cell r="D1874" t="str">
            <v>planning engineer</v>
          </cell>
        </row>
        <row r="1875">
          <cell r="A1875" t="str">
            <v>2567254368</v>
          </cell>
          <cell r="B1875" t="str">
            <v>Numan Ahmad</v>
          </cell>
          <cell r="C1875" t="str">
            <v>JV (BBI-AGC)</v>
          </cell>
          <cell r="D1875" t="str">
            <v>QA/QC Engineer</v>
          </cell>
        </row>
        <row r="1876">
          <cell r="A1876" t="str">
            <v>2541299091</v>
          </cell>
          <cell r="B1876" t="str">
            <v>Nurmuhammet Durdyyev</v>
          </cell>
          <cell r="C1876" t="str">
            <v>JV (BBI-AGC)</v>
          </cell>
          <cell r="D1876" t="str">
            <v>Supervisor</v>
          </cell>
        </row>
        <row r="1877">
          <cell r="A1877" t="str">
            <v>2513316493</v>
          </cell>
          <cell r="B1877" t="str">
            <v>Obaid Ahmed</v>
          </cell>
          <cell r="C1877" t="str">
            <v>BUILDING ROOTS</v>
          </cell>
          <cell r="D1877" t="str">
            <v>Roller Compactor</v>
          </cell>
        </row>
        <row r="1878">
          <cell r="A1878" t="str">
            <v>2599004343</v>
          </cell>
          <cell r="B1878" t="str">
            <v>Obaidul</v>
          </cell>
          <cell r="C1878" t="str">
            <v>ELITE HEART</v>
          </cell>
          <cell r="D1878" t="str">
            <v>Helper</v>
          </cell>
        </row>
        <row r="1879">
          <cell r="A1879" t="str">
            <v>2514311170</v>
          </cell>
          <cell r="B1879" t="str">
            <v>Oli Osman</v>
          </cell>
          <cell r="C1879" t="str">
            <v>ALMABANI CONT.</v>
          </cell>
          <cell r="D1879" t="str">
            <v>Flagman</v>
          </cell>
        </row>
        <row r="1880">
          <cell r="A1880" t="str">
            <v>2585467620</v>
          </cell>
          <cell r="B1880" t="str">
            <v>Omar Abu</v>
          </cell>
          <cell r="C1880" t="str">
            <v>ELITE HEART</v>
          </cell>
          <cell r="D1880" t="str">
            <v>Chief Surveyor</v>
          </cell>
        </row>
        <row r="1881">
          <cell r="A1881" t="str">
            <v>2571506811</v>
          </cell>
          <cell r="B1881" t="str">
            <v>Omar Ali</v>
          </cell>
          <cell r="C1881" t="str">
            <v>BUILDING ROOTS</v>
          </cell>
          <cell r="D1881" t="str">
            <v>Driver</v>
          </cell>
        </row>
        <row r="1882">
          <cell r="A1882" t="str">
            <v>2566606097</v>
          </cell>
          <cell r="B1882" t="str">
            <v>Omar Faruk</v>
          </cell>
          <cell r="C1882" t="str">
            <v>GLOBAL CASTLES</v>
          </cell>
          <cell r="D1882" t="str">
            <v>Surveyor Helper</v>
          </cell>
        </row>
        <row r="1883">
          <cell r="A1883" t="str">
            <v>2614988975</v>
          </cell>
          <cell r="B1883" t="str">
            <v>Omar Hamoud</v>
          </cell>
          <cell r="C1883" t="str">
            <v>ELITE HEART</v>
          </cell>
          <cell r="D1883" t="str">
            <v>Fencing Man</v>
          </cell>
        </row>
        <row r="1884">
          <cell r="A1884" t="str">
            <v>2579267335</v>
          </cell>
          <cell r="B1884" t="str">
            <v>Omar Hanafy Mahmoud</v>
          </cell>
          <cell r="C1884" t="str">
            <v>ELITE HEART</v>
          </cell>
          <cell r="D1884" t="str">
            <v>Painter</v>
          </cell>
        </row>
        <row r="1885">
          <cell r="A1885" t="str">
            <v>2610154441</v>
          </cell>
          <cell r="B1885" t="str">
            <v>Omar Khaled</v>
          </cell>
          <cell r="C1885" t="str">
            <v>ELITE HEART</v>
          </cell>
          <cell r="D1885" t="str">
            <v>Dump Truck Operator</v>
          </cell>
        </row>
        <row r="1886">
          <cell r="A1886" t="str">
            <v>2176131908</v>
          </cell>
          <cell r="B1886" t="str">
            <v>Omar Mustafa</v>
          </cell>
          <cell r="C1886" t="str">
            <v>ANNAQ</v>
          </cell>
          <cell r="D1886" t="str">
            <v>Supervisor</v>
          </cell>
        </row>
        <row r="1887">
          <cell r="A1887" t="str">
            <v>1070248313</v>
          </cell>
          <cell r="B1887" t="str">
            <v>Omar Saleh</v>
          </cell>
          <cell r="C1887" t="str">
            <v>JV (BBI-AGC)</v>
          </cell>
          <cell r="D1887" t="str">
            <v>Senior Specialist</v>
          </cell>
        </row>
        <row r="1888">
          <cell r="A1888" t="str">
            <v>2604272290</v>
          </cell>
          <cell r="B1888" t="str">
            <v>Onik Ali</v>
          </cell>
          <cell r="C1888" t="str">
            <v>ELITE HEART</v>
          </cell>
          <cell r="D1888" t="str">
            <v>Steel Fixer</v>
          </cell>
        </row>
        <row r="1889">
          <cell r="A1889" t="str">
            <v>2444176859</v>
          </cell>
          <cell r="B1889" t="str">
            <v>Osama</v>
          </cell>
          <cell r="C1889" t="str">
            <v>BUILDING ROOTS</v>
          </cell>
          <cell r="D1889" t="str">
            <v>Carpenter</v>
          </cell>
        </row>
        <row r="1890">
          <cell r="A1890" t="str">
            <v>2448726501</v>
          </cell>
          <cell r="B1890" t="str">
            <v>Osama Naif</v>
          </cell>
          <cell r="C1890" t="str">
            <v>BUILDING ROOTS</v>
          </cell>
          <cell r="D1890" t="str">
            <v>Carpenter</v>
          </cell>
        </row>
        <row r="1891">
          <cell r="A1891" t="str">
            <v>2371442739</v>
          </cell>
          <cell r="B1891" t="str">
            <v>Osamah</v>
          </cell>
          <cell r="C1891" t="str">
            <v>BUILDING ROOTS</v>
          </cell>
          <cell r="D1891" t="str">
            <v>Carpenter</v>
          </cell>
        </row>
        <row r="1892">
          <cell r="A1892" t="str">
            <v>2512939717</v>
          </cell>
          <cell r="B1892" t="str">
            <v>Osamah Abdalqawi</v>
          </cell>
          <cell r="C1892" t="str">
            <v>BUILDING ROOTS</v>
          </cell>
          <cell r="D1892" t="str">
            <v>Scaffolder</v>
          </cell>
        </row>
        <row r="1893">
          <cell r="A1893" t="str">
            <v>2615602030</v>
          </cell>
          <cell r="B1893" t="str">
            <v>Osamah Abdo</v>
          </cell>
          <cell r="C1893" t="str">
            <v>BUILDING ROOTS</v>
          </cell>
          <cell r="D1893" t="str">
            <v>Carpenter</v>
          </cell>
        </row>
        <row r="1894">
          <cell r="A1894" t="str">
            <v>2591352550</v>
          </cell>
          <cell r="B1894" t="str">
            <v>Osamah Abdullah</v>
          </cell>
          <cell r="C1894" t="str">
            <v>BUILDING ROOTS</v>
          </cell>
          <cell r="D1894" t="str">
            <v>Carpenter</v>
          </cell>
        </row>
        <row r="1895">
          <cell r="A1895" t="str">
            <v>2506878830</v>
          </cell>
          <cell r="B1895" t="str">
            <v>Osamah Ahmed</v>
          </cell>
          <cell r="C1895" t="str">
            <v>BUILDING ROOTS</v>
          </cell>
          <cell r="D1895" t="str">
            <v>Carpenter</v>
          </cell>
        </row>
        <row r="1896">
          <cell r="A1896" t="str">
            <v>2616357437</v>
          </cell>
          <cell r="B1896" t="str">
            <v>Osamah mohammad</v>
          </cell>
          <cell r="C1896" t="str">
            <v>BUILDING ROOTS</v>
          </cell>
          <cell r="D1896" t="str">
            <v>Carpenter</v>
          </cell>
        </row>
        <row r="1897">
          <cell r="A1897" t="str">
            <v>2620961298</v>
          </cell>
          <cell r="B1897" t="str">
            <v>Othman</v>
          </cell>
          <cell r="C1897" t="str">
            <v>ANNAQ</v>
          </cell>
          <cell r="D1897" t="str">
            <v>Labour</v>
          </cell>
        </row>
        <row r="1898">
          <cell r="A1898" t="str">
            <v>2591522061</v>
          </cell>
          <cell r="B1898" t="str">
            <v>Owaj Miah</v>
          </cell>
          <cell r="C1898" t="str">
            <v>BUILDING ROOTS</v>
          </cell>
          <cell r="D1898" t="str">
            <v>Carpenter</v>
          </cell>
        </row>
        <row r="1899">
          <cell r="A1899" t="str">
            <v>2522315817</v>
          </cell>
          <cell r="B1899" t="str">
            <v>Pallab Majhi</v>
          </cell>
          <cell r="C1899" t="str">
            <v>ELITE HEART</v>
          </cell>
          <cell r="D1899" t="str">
            <v>Carpenter</v>
          </cell>
        </row>
        <row r="1900">
          <cell r="A1900" t="str">
            <v>2427439522</v>
          </cell>
          <cell r="B1900" t="str">
            <v>Pappu Kumar</v>
          </cell>
          <cell r="C1900" t="str">
            <v>SAUDI BAUER</v>
          </cell>
          <cell r="D1900" t="str">
            <v>Excavator Operator</v>
          </cell>
        </row>
        <row r="1901">
          <cell r="A1901" t="str">
            <v>2541233547</v>
          </cell>
          <cell r="B1901" t="str">
            <v>Parahat Durdyyev</v>
          </cell>
          <cell r="C1901" t="str">
            <v>JV (BBI-AGC)</v>
          </cell>
          <cell r="D1901" t="str">
            <v>Hse</v>
          </cell>
        </row>
        <row r="1902">
          <cell r="A1902" t="str">
            <v>2623468051</v>
          </cell>
          <cell r="B1902" t="str">
            <v>Paras ahmed</v>
          </cell>
          <cell r="C1902" t="str">
            <v>BUILDING ROOTS</v>
          </cell>
          <cell r="D1902" t="str">
            <v>QC</v>
          </cell>
        </row>
        <row r="1903">
          <cell r="A1903" t="str">
            <v>2497284204</v>
          </cell>
          <cell r="B1903" t="str">
            <v>Parbet</v>
          </cell>
          <cell r="C1903" t="str">
            <v>GLOBAL CASTLES</v>
          </cell>
          <cell r="D1903" t="str">
            <v>Rigger</v>
          </cell>
        </row>
        <row r="1904">
          <cell r="A1904" t="str">
            <v>2632988222</v>
          </cell>
          <cell r="B1904" t="str">
            <v>Parvaiz</v>
          </cell>
          <cell r="C1904" t="str">
            <v>BUILDING ROOTS</v>
          </cell>
          <cell r="D1904" t="str">
            <v>Steel Fixer</v>
          </cell>
        </row>
        <row r="1905">
          <cell r="A1905" t="str">
            <v>2575825357</v>
          </cell>
          <cell r="B1905" t="str">
            <v>Parvez Mia</v>
          </cell>
          <cell r="C1905" t="str">
            <v>AMAL AL-MUSTAQBAL</v>
          </cell>
          <cell r="D1905" t="str">
            <v>Fabrication &amp; Installation</v>
          </cell>
        </row>
        <row r="1906">
          <cell r="A1906" t="str">
            <v>2518097106</v>
          </cell>
          <cell r="B1906" t="str">
            <v>Pervez</v>
          </cell>
          <cell r="C1906" t="str">
            <v>BUILDING ROOTS</v>
          </cell>
          <cell r="D1906" t="str">
            <v>Carpenter</v>
          </cell>
        </row>
        <row r="1907">
          <cell r="A1907" t="str">
            <v>2614195663</v>
          </cell>
          <cell r="B1907" t="str">
            <v>Pervez Shajahan</v>
          </cell>
          <cell r="C1907" t="str">
            <v>GLOBAL CASTLES</v>
          </cell>
          <cell r="D1907" t="str">
            <v>Scaffolder</v>
          </cell>
        </row>
        <row r="1908">
          <cell r="A1908" t="str">
            <v>6166556970</v>
          </cell>
          <cell r="B1908" t="str">
            <v>Philip</v>
          </cell>
          <cell r="C1908" t="str">
            <v>AALICO</v>
          </cell>
          <cell r="D1908" t="str">
            <v>Vertiko CEO</v>
          </cell>
        </row>
        <row r="1909">
          <cell r="A1909" t="str">
            <v>2578331445</v>
          </cell>
          <cell r="B1909" t="str">
            <v>Pinto</v>
          </cell>
          <cell r="C1909" t="str">
            <v>ELITE HEART</v>
          </cell>
          <cell r="D1909" t="str">
            <v>Scaffolder</v>
          </cell>
        </row>
        <row r="1910">
          <cell r="A1910" t="str">
            <v>2593165356</v>
          </cell>
          <cell r="B1910" t="str">
            <v>Pir</v>
          </cell>
          <cell r="C1910" t="str">
            <v>ELITE HEART</v>
          </cell>
          <cell r="D1910" t="str">
            <v>Carpenter</v>
          </cell>
        </row>
        <row r="1911">
          <cell r="A1911" t="str">
            <v>2503337236</v>
          </cell>
          <cell r="B1911" t="str">
            <v>Pir mohammad</v>
          </cell>
          <cell r="C1911" t="str">
            <v>BUILDING ROOTS</v>
          </cell>
          <cell r="D1911" t="str">
            <v>excavator operator</v>
          </cell>
        </row>
        <row r="1912">
          <cell r="A1912" t="str">
            <v>252666395</v>
          </cell>
          <cell r="B1912" t="str">
            <v>Piran Ditta</v>
          </cell>
          <cell r="C1912" t="str">
            <v>ELITE HEART</v>
          </cell>
          <cell r="D1912" t="str">
            <v>Steel Fixer</v>
          </cell>
        </row>
        <row r="1913">
          <cell r="A1913" t="str">
            <v>2619856392</v>
          </cell>
          <cell r="B1913" t="str">
            <v>Porbel Bapari</v>
          </cell>
          <cell r="C1913" t="str">
            <v>GLOBAL CASTLES</v>
          </cell>
          <cell r="D1913" t="str">
            <v>Scaffolder</v>
          </cell>
        </row>
        <row r="1914">
          <cell r="A1914" t="str">
            <v>2311961599</v>
          </cell>
          <cell r="B1914" t="str">
            <v>Prabhu Muthu</v>
          </cell>
          <cell r="C1914" t="str">
            <v>JV (BBI-AGC)</v>
          </cell>
          <cell r="D1914" t="str">
            <v>Hse Specialist</v>
          </cell>
        </row>
        <row r="1915">
          <cell r="A1915" t="str">
            <v>2525109449</v>
          </cell>
          <cell r="B1915" t="str">
            <v>Pradeep Kumar</v>
          </cell>
          <cell r="C1915" t="str">
            <v>AL FARIS</v>
          </cell>
          <cell r="D1915" t="str">
            <v>Driver</v>
          </cell>
        </row>
        <row r="1916">
          <cell r="A1916" t="str">
            <v>2541170227</v>
          </cell>
          <cell r="B1916" t="str">
            <v>Pradyumn P Timalsena</v>
          </cell>
          <cell r="C1916" t="str">
            <v>BOUYGUES CONST.</v>
          </cell>
          <cell r="D1916" t="str">
            <v>Data Analyst</v>
          </cell>
        </row>
        <row r="1917">
          <cell r="A1917" t="str">
            <v>2625128059</v>
          </cell>
          <cell r="B1917" t="str">
            <v>Prakash Rasaili</v>
          </cell>
          <cell r="C1917" t="str">
            <v>RED CAMEL</v>
          </cell>
          <cell r="D1917" t="str">
            <v>Forklift Operator</v>
          </cell>
        </row>
        <row r="1918">
          <cell r="A1918" t="str">
            <v>2602136182</v>
          </cell>
          <cell r="B1918" t="str">
            <v>Pratyush Mudbhari</v>
          </cell>
          <cell r="C1918" t="str">
            <v>JV (BBI-AGC)</v>
          </cell>
          <cell r="D1918" t="str">
            <v>Environment Officer</v>
          </cell>
        </row>
        <row r="1919">
          <cell r="A1919" t="str">
            <v>2576935999</v>
          </cell>
          <cell r="B1919" t="str">
            <v>Praveen Kumar</v>
          </cell>
          <cell r="C1919" t="str">
            <v>AMAL AL-MUSTAQBAL</v>
          </cell>
          <cell r="D1919" t="str">
            <v>Fabrication &amp; Installation</v>
          </cell>
        </row>
        <row r="1920">
          <cell r="A1920" t="str">
            <v>2628233328</v>
          </cell>
          <cell r="B1920" t="str">
            <v>Praveen Singh</v>
          </cell>
          <cell r="C1920" t="str">
            <v>SAUDI ENVIROZONE</v>
          </cell>
          <cell r="D1920" t="str">
            <v>Project Engineer</v>
          </cell>
        </row>
        <row r="1921">
          <cell r="A1921" t="str">
            <v>2611812864</v>
          </cell>
          <cell r="B1921" t="str">
            <v>Prem Bahadur Sunar</v>
          </cell>
          <cell r="C1921" t="str">
            <v>RED CAMEL</v>
          </cell>
          <cell r="D1921" t="str">
            <v>Forklift Operator</v>
          </cell>
        </row>
        <row r="1922">
          <cell r="A1922" t="str">
            <v>2544855261</v>
          </cell>
          <cell r="B1922" t="str">
            <v>Prince patrick</v>
          </cell>
          <cell r="C1922" t="str">
            <v>Cretec</v>
          </cell>
          <cell r="D1922" t="str">
            <v>QC engineer</v>
          </cell>
        </row>
        <row r="1923">
          <cell r="A1923" t="str">
            <v>2539085205</v>
          </cell>
          <cell r="B1923" t="str">
            <v>Qadhapi Abdo</v>
          </cell>
          <cell r="C1923" t="str">
            <v>BUILDING ROOTS</v>
          </cell>
          <cell r="D1923" t="str">
            <v>Carpenter</v>
          </cell>
        </row>
        <row r="1924">
          <cell r="A1924" t="str">
            <v>2578396380</v>
          </cell>
          <cell r="B1924" t="str">
            <v>Qadir Khan</v>
          </cell>
          <cell r="C1924" t="str">
            <v>BUILDING ROOTS</v>
          </cell>
          <cell r="D1924" t="str">
            <v>Steel Fixer</v>
          </cell>
        </row>
        <row r="1925">
          <cell r="A1925" t="str">
            <v>2550867733</v>
          </cell>
          <cell r="B1925" t="str">
            <v>Qaid</v>
          </cell>
          <cell r="C1925" t="str">
            <v>BUILDING ROOTS</v>
          </cell>
          <cell r="D1925" t="str">
            <v>Carpenter</v>
          </cell>
        </row>
        <row r="1926">
          <cell r="A1926" t="str">
            <v>2287352880</v>
          </cell>
          <cell r="B1926" t="str">
            <v>Qaiser Ali</v>
          </cell>
          <cell r="C1926" t="str">
            <v>BUILDING ROOTS</v>
          </cell>
          <cell r="D1926" t="str">
            <v>Steel Fixer</v>
          </cell>
        </row>
        <row r="1927">
          <cell r="A1927" t="str">
            <v>2340487707</v>
          </cell>
          <cell r="B1927" t="str">
            <v>Qaiser Farooq</v>
          </cell>
          <cell r="C1927" t="str">
            <v>GLOBAL CASTLES</v>
          </cell>
          <cell r="D1927" t="str">
            <v>Rigger 3</v>
          </cell>
        </row>
        <row r="1928">
          <cell r="A1928" t="str">
            <v>2581426828</v>
          </cell>
          <cell r="B1928" t="str">
            <v>Qaiser Mahmood</v>
          </cell>
          <cell r="C1928" t="str">
            <v>BUILDING ROOTS</v>
          </cell>
          <cell r="D1928" t="str">
            <v>Steel Fixer</v>
          </cell>
        </row>
        <row r="1929">
          <cell r="A1929" t="str">
            <v>2568610659</v>
          </cell>
          <cell r="B1929" t="str">
            <v>Qaiser iqbal</v>
          </cell>
          <cell r="C1929" t="str">
            <v>BUILDING ROOTS</v>
          </cell>
          <cell r="D1929" t="str">
            <v>Steel Fixer</v>
          </cell>
        </row>
        <row r="1930">
          <cell r="A1930" t="str">
            <v>2580084917</v>
          </cell>
          <cell r="B1930" t="str">
            <v>Qamar Abbas</v>
          </cell>
          <cell r="C1930" t="str">
            <v>SAUDI BAUER</v>
          </cell>
          <cell r="D1930" t="str">
            <v>Helper</v>
          </cell>
        </row>
        <row r="1931">
          <cell r="A1931" t="str">
            <v>1101728242</v>
          </cell>
          <cell r="B1931" t="str">
            <v>Qasem Ahmed Hassan Batt</v>
          </cell>
          <cell r="C1931" t="str">
            <v>ALMABANI CONT.</v>
          </cell>
          <cell r="D1931" t="str">
            <v>Hse Engineer</v>
          </cell>
        </row>
        <row r="1932">
          <cell r="A1932" t="str">
            <v>2380121737</v>
          </cell>
          <cell r="B1932" t="str">
            <v>Qasem ahmed</v>
          </cell>
          <cell r="C1932" t="str">
            <v>JV Rental</v>
          </cell>
          <cell r="D1932" t="str">
            <v>Driver</v>
          </cell>
        </row>
        <row r="1933">
          <cell r="A1933" t="str">
            <v>2575901778</v>
          </cell>
          <cell r="B1933" t="str">
            <v>Qayaz</v>
          </cell>
          <cell r="C1933" t="str">
            <v>BUILDING ROOTS</v>
          </cell>
          <cell r="D1933" t="str">
            <v>Carpenter</v>
          </cell>
        </row>
        <row r="1934">
          <cell r="A1934" t="str">
            <v>2380519633</v>
          </cell>
          <cell r="B1934" t="str">
            <v>Qazfi Bilal</v>
          </cell>
          <cell r="C1934" t="str">
            <v>GLOBAL CASTLES</v>
          </cell>
          <cell r="D1934" t="str">
            <v>Mobile Crane Operator</v>
          </cell>
        </row>
        <row r="1935">
          <cell r="A1935" t="str">
            <v>2606469738</v>
          </cell>
          <cell r="B1935" t="str">
            <v>Qiyam Khan</v>
          </cell>
          <cell r="C1935" t="str">
            <v>BUILDING ROOTS</v>
          </cell>
          <cell r="D1935" t="str">
            <v>Carpenter</v>
          </cell>
        </row>
        <row r="1936">
          <cell r="A1936" t="str">
            <v>2611657376</v>
          </cell>
          <cell r="B1936" t="str">
            <v>Qussai saddam</v>
          </cell>
          <cell r="C1936" t="str">
            <v>BUILDING ROOTS</v>
          </cell>
          <cell r="D1936" t="str">
            <v>bobcat opertor</v>
          </cell>
        </row>
        <row r="1937">
          <cell r="A1937" t="str">
            <v>2505154716</v>
          </cell>
          <cell r="B1937" t="str">
            <v>Raad Saleh Naji</v>
          </cell>
          <cell r="C1937" t="str">
            <v>BUILDING ROOTS</v>
          </cell>
          <cell r="D1937" t="str">
            <v>Carpenter</v>
          </cell>
        </row>
        <row r="1938">
          <cell r="A1938" t="str">
            <v>2570114039</v>
          </cell>
          <cell r="B1938" t="str">
            <v>Rabel Mia</v>
          </cell>
          <cell r="C1938" t="str">
            <v>BUILDING ROOTS</v>
          </cell>
          <cell r="D1938" t="str">
            <v>Scaffolder</v>
          </cell>
        </row>
        <row r="1939">
          <cell r="A1939" t="str">
            <v>2327843986</v>
          </cell>
          <cell r="B1939" t="str">
            <v>Rabie</v>
          </cell>
          <cell r="C1939" t="str">
            <v>SAUDI BAUER</v>
          </cell>
          <cell r="D1939" t="str">
            <v>Foreman</v>
          </cell>
        </row>
        <row r="1940">
          <cell r="A1940" t="str">
            <v>2597985536</v>
          </cell>
          <cell r="B1940" t="str">
            <v>Rabiul Awal</v>
          </cell>
          <cell r="C1940" t="str">
            <v>BUILDING ROOTS</v>
          </cell>
          <cell r="D1940" t="str">
            <v>Scaffolder</v>
          </cell>
        </row>
        <row r="1941">
          <cell r="A1941" t="str">
            <v>2612050747</v>
          </cell>
          <cell r="B1941" t="str">
            <v>Rabiul Mizan</v>
          </cell>
          <cell r="C1941" t="str">
            <v>GLOBAL CASTLES</v>
          </cell>
          <cell r="D1941" t="str">
            <v>Labour</v>
          </cell>
        </row>
        <row r="1942">
          <cell r="A1942" t="str">
            <v>2493717306</v>
          </cell>
          <cell r="B1942" t="str">
            <v>Rabnawaz</v>
          </cell>
          <cell r="C1942" t="str">
            <v>ELITE HEART</v>
          </cell>
          <cell r="D1942" t="str">
            <v>Labour</v>
          </cell>
        </row>
        <row r="1943">
          <cell r="A1943" t="str">
            <v>2316832670</v>
          </cell>
          <cell r="B1943" t="str">
            <v>Rachid Knain</v>
          </cell>
          <cell r="C1943" t="str">
            <v>BOUYGUES CONST.</v>
          </cell>
          <cell r="D1943" t="str">
            <v>Supervisor</v>
          </cell>
        </row>
        <row r="1944">
          <cell r="A1944" t="str">
            <v>2450768243</v>
          </cell>
          <cell r="B1944" t="str">
            <v>Radfan Abdo</v>
          </cell>
          <cell r="C1944" t="str">
            <v>BUILDING ROOTS</v>
          </cell>
          <cell r="D1944" t="str">
            <v>Carpenter</v>
          </cell>
        </row>
        <row r="1945">
          <cell r="A1945" t="str">
            <v>2282548342</v>
          </cell>
          <cell r="B1945" t="str">
            <v>Raed Mohammed</v>
          </cell>
          <cell r="C1945" t="str">
            <v>ARABIAN TOWER</v>
          </cell>
          <cell r="D1945" t="str">
            <v>Electrician</v>
          </cell>
        </row>
        <row r="1946">
          <cell r="A1946" t="str">
            <v>2535281394</v>
          </cell>
          <cell r="B1946" t="str">
            <v>Rafaqat Ali</v>
          </cell>
          <cell r="C1946" t="str">
            <v>BUILDING ROOTS</v>
          </cell>
          <cell r="D1946" t="str">
            <v>Steel Fixer</v>
          </cell>
        </row>
        <row r="1947">
          <cell r="A1947" t="str">
            <v>2588704581</v>
          </cell>
          <cell r="B1947" t="str">
            <v>Rafikul Islam</v>
          </cell>
          <cell r="C1947" t="str">
            <v>GLOBAL CASTLES</v>
          </cell>
          <cell r="D1947" t="str">
            <v>Labour</v>
          </cell>
        </row>
        <row r="1948">
          <cell r="A1948" t="str">
            <v>2605472550</v>
          </cell>
          <cell r="B1948" t="str">
            <v>Rafiq</v>
          </cell>
          <cell r="C1948" t="str">
            <v>GLOBAL CASTLES</v>
          </cell>
          <cell r="D1948" t="str">
            <v>Labour</v>
          </cell>
        </row>
        <row r="1949">
          <cell r="A1949" t="str">
            <v>2574782824</v>
          </cell>
          <cell r="B1949" t="str">
            <v>Rafiq Hussain</v>
          </cell>
          <cell r="C1949" t="str">
            <v>BUILDING ROOTS</v>
          </cell>
          <cell r="D1949" t="str">
            <v>Scaffolder</v>
          </cell>
        </row>
        <row r="1950">
          <cell r="A1950" t="str">
            <v>2539843918</v>
          </cell>
          <cell r="B1950" t="str">
            <v>Rafiq Ullah</v>
          </cell>
          <cell r="C1950" t="str">
            <v>BUILDING ROOTS</v>
          </cell>
          <cell r="D1950" t="str">
            <v>Carpenter</v>
          </cell>
        </row>
        <row r="1951">
          <cell r="A1951" t="str">
            <v>2593477348</v>
          </cell>
          <cell r="B1951" t="str">
            <v>Ragaey Gamil</v>
          </cell>
          <cell r="C1951" t="str">
            <v>BUILDING ROOTS</v>
          </cell>
          <cell r="D1951" t="str">
            <v>Foreman</v>
          </cell>
        </row>
        <row r="1952">
          <cell r="A1952" t="str">
            <v>2540933682</v>
          </cell>
          <cell r="B1952" t="str">
            <v>Raham Wali</v>
          </cell>
          <cell r="C1952" t="str">
            <v>BUILDING ROOTS</v>
          </cell>
          <cell r="D1952" t="str">
            <v>Labour</v>
          </cell>
        </row>
        <row r="1953">
          <cell r="A1953" t="str">
            <v>2633161431</v>
          </cell>
          <cell r="B1953" t="str">
            <v>Rahaman</v>
          </cell>
          <cell r="C1953" t="str">
            <v>ANNAQ</v>
          </cell>
          <cell r="D1953" t="str">
            <v>Helper</v>
          </cell>
        </row>
        <row r="1954">
          <cell r="A1954" t="str">
            <v>2589718705</v>
          </cell>
          <cell r="B1954" t="str">
            <v>Rahan rony</v>
          </cell>
          <cell r="C1954" t="str">
            <v>BUILDING ROOTS</v>
          </cell>
          <cell r="D1954" t="str">
            <v>Steel Fixer</v>
          </cell>
        </row>
        <row r="1955">
          <cell r="A1955" t="str">
            <v>2596755732</v>
          </cell>
          <cell r="B1955" t="str">
            <v>Rahat Ullah</v>
          </cell>
          <cell r="C1955" t="str">
            <v>BUILDING ROOTS</v>
          </cell>
          <cell r="D1955" t="str">
            <v>Operator</v>
          </cell>
        </row>
        <row r="1956">
          <cell r="A1956" t="str">
            <v>2480087275</v>
          </cell>
          <cell r="B1956" t="str">
            <v>Rahim</v>
          </cell>
          <cell r="C1956" t="str">
            <v>GLOBAL CASTLES</v>
          </cell>
          <cell r="D1956" t="str">
            <v>Foreman</v>
          </cell>
        </row>
        <row r="1957">
          <cell r="A1957" t="str">
            <v>2569002443</v>
          </cell>
          <cell r="B1957" t="str">
            <v>Rahim</v>
          </cell>
          <cell r="C1957" t="str">
            <v>BUILDING ROOTS</v>
          </cell>
          <cell r="D1957" t="str">
            <v>Flag Man</v>
          </cell>
        </row>
        <row r="1958">
          <cell r="A1958" t="str">
            <v>2475879447</v>
          </cell>
          <cell r="B1958" t="str">
            <v>Rahim Ali</v>
          </cell>
          <cell r="C1958" t="str">
            <v>BUILDING ROOTS</v>
          </cell>
          <cell r="D1958" t="str">
            <v>Foreman Carpentar</v>
          </cell>
        </row>
        <row r="1959">
          <cell r="A1959" t="str">
            <v>2392884231</v>
          </cell>
          <cell r="B1959" t="str">
            <v>Rahim Uddin</v>
          </cell>
          <cell r="C1959" t="str">
            <v>BUILDING ROOTS</v>
          </cell>
          <cell r="D1959" t="str">
            <v>Carpenter</v>
          </cell>
        </row>
        <row r="1960">
          <cell r="A1960" t="str">
            <v>2588564811</v>
          </cell>
          <cell r="B1960" t="str">
            <v>Rahim Ullah</v>
          </cell>
          <cell r="C1960" t="str">
            <v>BUILDING ROOTS</v>
          </cell>
          <cell r="D1960" t="str">
            <v>Labour</v>
          </cell>
        </row>
        <row r="1961">
          <cell r="A1961" t="str">
            <v>2616477630</v>
          </cell>
          <cell r="B1961" t="str">
            <v>Rahman</v>
          </cell>
          <cell r="C1961" t="str">
            <v>ELITE HEART</v>
          </cell>
          <cell r="D1961" t="str">
            <v>Helper</v>
          </cell>
        </row>
        <row r="1962">
          <cell r="A1962" t="str">
            <v>2291797559</v>
          </cell>
          <cell r="B1962" t="str">
            <v>Rahman Ali</v>
          </cell>
          <cell r="C1962" t="str">
            <v>BUILDING ROOTS</v>
          </cell>
          <cell r="D1962" t="str">
            <v>Supervisor</v>
          </cell>
        </row>
        <row r="1963">
          <cell r="A1963" t="str">
            <v>2589773742</v>
          </cell>
          <cell r="B1963" t="str">
            <v>Rahman Uddin</v>
          </cell>
          <cell r="C1963" t="str">
            <v>ELITE HEART</v>
          </cell>
          <cell r="D1963" t="str">
            <v>Labour</v>
          </cell>
        </row>
        <row r="1964">
          <cell r="A1964" t="str">
            <v>2586766226</v>
          </cell>
          <cell r="B1964" t="str">
            <v>Rahman Ullah</v>
          </cell>
          <cell r="C1964" t="str">
            <v>BUILDING ROOTS</v>
          </cell>
          <cell r="D1964" t="str">
            <v>Steel Fixer</v>
          </cell>
        </row>
        <row r="1965">
          <cell r="A1965" t="str">
            <v>2617653619</v>
          </cell>
          <cell r="B1965" t="str">
            <v>Rahmanullah</v>
          </cell>
          <cell r="C1965" t="str">
            <v>ELITE HEART</v>
          </cell>
          <cell r="D1965" t="str">
            <v>Steel Fixer</v>
          </cell>
        </row>
        <row r="1966">
          <cell r="A1966" t="str">
            <v>2533537995</v>
          </cell>
          <cell r="B1966" t="str">
            <v>Rahmat</v>
          </cell>
          <cell r="C1966" t="str">
            <v>BUILDING ROOTS</v>
          </cell>
          <cell r="D1966" t="str">
            <v>Labour</v>
          </cell>
        </row>
        <row r="1967">
          <cell r="A1967" t="str">
            <v>2592838482</v>
          </cell>
          <cell r="B1967" t="str">
            <v>Rahmat Khan</v>
          </cell>
          <cell r="C1967" t="str">
            <v>BUILDING ROOTS</v>
          </cell>
          <cell r="D1967" t="str">
            <v>Labour</v>
          </cell>
        </row>
        <row r="1968">
          <cell r="A1968" t="str">
            <v>2592754259</v>
          </cell>
          <cell r="B1968" t="str">
            <v>Rahmat Shah</v>
          </cell>
          <cell r="C1968" t="str">
            <v>BUILDING ROOTS</v>
          </cell>
          <cell r="D1968" t="str">
            <v>Labour</v>
          </cell>
        </row>
        <row r="1969">
          <cell r="A1969" t="str">
            <v>2399291794</v>
          </cell>
          <cell r="B1969" t="str">
            <v>Raiaz ullah</v>
          </cell>
          <cell r="C1969" t="str">
            <v>AALICO</v>
          </cell>
          <cell r="D1969" t="str">
            <v>labor</v>
          </cell>
        </row>
        <row r="1970">
          <cell r="A1970" t="str">
            <v>2548319595</v>
          </cell>
          <cell r="B1970" t="str">
            <v>Raj Kumar</v>
          </cell>
          <cell r="C1970" t="str">
            <v>SAUDI BAUER</v>
          </cell>
          <cell r="D1970" t="str">
            <v>Crane Operator</v>
          </cell>
        </row>
        <row r="1971">
          <cell r="A1971" t="str">
            <v>2272804994</v>
          </cell>
          <cell r="B1971" t="str">
            <v>Raja Khan</v>
          </cell>
          <cell r="C1971" t="str">
            <v>TAMIMI</v>
          </cell>
          <cell r="D1971" t="str">
            <v>Plumber</v>
          </cell>
        </row>
        <row r="1972">
          <cell r="A1972" t="str">
            <v>2589040340</v>
          </cell>
          <cell r="B1972" t="str">
            <v>Rajan dewan</v>
          </cell>
          <cell r="C1972" t="str">
            <v>BUILDING ROOTS</v>
          </cell>
          <cell r="D1972" t="str">
            <v>plumber</v>
          </cell>
        </row>
        <row r="1973">
          <cell r="A1973" t="str">
            <v>2575242538</v>
          </cell>
          <cell r="B1973" t="str">
            <v>Rajee Ahmad</v>
          </cell>
          <cell r="C1973" t="str">
            <v>TAMIMI</v>
          </cell>
          <cell r="D1973" t="str">
            <v>Electrician</v>
          </cell>
        </row>
        <row r="1974">
          <cell r="A1974" t="str">
            <v>2599946023</v>
          </cell>
          <cell r="B1974" t="str">
            <v>Rajib</v>
          </cell>
          <cell r="C1974" t="str">
            <v>AL MUMAYAZ</v>
          </cell>
          <cell r="D1974" t="str">
            <v>Labour</v>
          </cell>
        </row>
        <row r="1975">
          <cell r="A1975" t="str">
            <v>2591015967</v>
          </cell>
          <cell r="B1975" t="str">
            <v>Rajib Hossen</v>
          </cell>
          <cell r="C1975" t="str">
            <v>BUILDING ROOTS</v>
          </cell>
          <cell r="D1975" t="str">
            <v>Scaffolder</v>
          </cell>
        </row>
        <row r="1976">
          <cell r="A1976" t="str">
            <v>2620122842</v>
          </cell>
          <cell r="B1976" t="str">
            <v>Raju Mia</v>
          </cell>
          <cell r="C1976" t="str">
            <v>BUILDING ROOTS</v>
          </cell>
          <cell r="D1976" t="str">
            <v>Scaffolder</v>
          </cell>
        </row>
        <row r="1977">
          <cell r="A1977" t="str">
            <v>2496781135</v>
          </cell>
          <cell r="B1977" t="str">
            <v>Raju Miah</v>
          </cell>
          <cell r="C1977" t="str">
            <v>GLOBAL CASTLES</v>
          </cell>
          <cell r="D1977" t="str">
            <v>Carpenter</v>
          </cell>
        </row>
        <row r="1978">
          <cell r="A1978" t="str">
            <v>2618372706</v>
          </cell>
          <cell r="B1978" t="str">
            <v>Raju Miah</v>
          </cell>
          <cell r="C1978" t="str">
            <v>BUILDING ROOTS</v>
          </cell>
          <cell r="D1978" t="str">
            <v>Scaffolder</v>
          </cell>
        </row>
        <row r="1979">
          <cell r="A1979" t="str">
            <v>2291197339</v>
          </cell>
          <cell r="B1979" t="str">
            <v>Raju Rizwan</v>
          </cell>
          <cell r="C1979" t="str">
            <v>ELITE HEART</v>
          </cell>
          <cell r="D1979" t="str">
            <v>Surveyor</v>
          </cell>
        </row>
        <row r="1980">
          <cell r="A1980" t="str">
            <v>1135059044</v>
          </cell>
          <cell r="B1980" t="str">
            <v>Rakan Alqahtani</v>
          </cell>
          <cell r="C1980" t="str">
            <v>AL JOHARAH</v>
          </cell>
          <cell r="D1980" t="str">
            <v>Security Officer</v>
          </cell>
        </row>
        <row r="1981">
          <cell r="A1981" t="str">
            <v>2544076363</v>
          </cell>
          <cell r="B1981" t="str">
            <v>Raken Abdarubb</v>
          </cell>
          <cell r="C1981" t="str">
            <v>ELITE HEART</v>
          </cell>
          <cell r="D1981" t="str">
            <v>Labour</v>
          </cell>
        </row>
        <row r="1982">
          <cell r="A1982" t="str">
            <v>2490407448</v>
          </cell>
          <cell r="B1982" t="str">
            <v>Rakib</v>
          </cell>
          <cell r="C1982" t="str">
            <v>BUILDING ROOTS</v>
          </cell>
          <cell r="D1982" t="str">
            <v>Scaffolder</v>
          </cell>
        </row>
        <row r="1983">
          <cell r="A1983" t="str">
            <v>2589260948</v>
          </cell>
          <cell r="B1983" t="str">
            <v>Rakib Aowlader</v>
          </cell>
          <cell r="C1983" t="str">
            <v>GLOBAL CASTLES</v>
          </cell>
          <cell r="D1983" t="str">
            <v>Labour</v>
          </cell>
        </row>
        <row r="1984">
          <cell r="A1984" t="str">
            <v>2409016468</v>
          </cell>
          <cell r="B1984" t="str">
            <v>Ram Yadav</v>
          </cell>
          <cell r="C1984" t="str">
            <v>AL AZANI</v>
          </cell>
          <cell r="D1984" t="str">
            <v>Operator</v>
          </cell>
        </row>
        <row r="1985">
          <cell r="A1985" t="str">
            <v>2567521758</v>
          </cell>
          <cell r="B1985" t="str">
            <v>Raman Khan</v>
          </cell>
          <cell r="C1985" t="str">
            <v>SAUDI BAUER</v>
          </cell>
          <cell r="D1985" t="str">
            <v>Flagman</v>
          </cell>
        </row>
        <row r="1986">
          <cell r="A1986" t="str">
            <v>2575358425</v>
          </cell>
          <cell r="B1986" t="str">
            <v>Rameez</v>
          </cell>
          <cell r="C1986" t="str">
            <v>BUILDING ROOTS</v>
          </cell>
          <cell r="D1986" t="str">
            <v>Labour</v>
          </cell>
        </row>
        <row r="1987">
          <cell r="A1987" t="str">
            <v>2528110220</v>
          </cell>
          <cell r="B1987" t="str">
            <v>Rameez Ahmad</v>
          </cell>
          <cell r="C1987" t="str">
            <v>SAUDI BAUER</v>
          </cell>
          <cell r="D1987" t="str">
            <v>Foreman</v>
          </cell>
        </row>
        <row r="1988">
          <cell r="A1988" t="str">
            <v>2579460086</v>
          </cell>
          <cell r="B1988" t="str">
            <v>Rami Saleh</v>
          </cell>
          <cell r="C1988" t="str">
            <v>ELITE HEART</v>
          </cell>
          <cell r="D1988" t="str">
            <v>Labour</v>
          </cell>
        </row>
        <row r="1989">
          <cell r="A1989" t="str">
            <v>2496589850</v>
          </cell>
          <cell r="B1989" t="str">
            <v>Ramim hoque</v>
          </cell>
          <cell r="C1989" t="str">
            <v>GLOBAL CASTLE</v>
          </cell>
          <cell r="D1989" t="str">
            <v>foreman steel fixer</v>
          </cell>
        </row>
        <row r="1990">
          <cell r="A1990" t="str">
            <v>2513543419</v>
          </cell>
          <cell r="B1990" t="str">
            <v>Ramjan</v>
          </cell>
          <cell r="C1990" t="str">
            <v>GLOBAL CASTLES</v>
          </cell>
          <cell r="D1990" t="str">
            <v>Rigger</v>
          </cell>
        </row>
        <row r="1991">
          <cell r="A1991" t="str">
            <v>2293341794</v>
          </cell>
          <cell r="B1991" t="str">
            <v>Ramnath Gujjar</v>
          </cell>
          <cell r="C1991" t="str">
            <v>TAMIMI</v>
          </cell>
          <cell r="D1991" t="str">
            <v>Carpenter</v>
          </cell>
        </row>
        <row r="1992">
          <cell r="A1992" t="str">
            <v>2569707728</v>
          </cell>
          <cell r="B1992" t="str">
            <v>Ramzan</v>
          </cell>
          <cell r="C1992" t="str">
            <v>BUILDING ROOTS</v>
          </cell>
          <cell r="D1992" t="str">
            <v>Carpenter</v>
          </cell>
        </row>
        <row r="1993">
          <cell r="A1993" t="str">
            <v>2564106140</v>
          </cell>
          <cell r="B1993" t="str">
            <v>Ramzan</v>
          </cell>
          <cell r="C1993" t="str">
            <v>SAUDI BAUER</v>
          </cell>
          <cell r="D1993" t="str">
            <v>Helper</v>
          </cell>
        </row>
        <row r="1994">
          <cell r="A1994" t="str">
            <v>2578925105</v>
          </cell>
          <cell r="B1994" t="str">
            <v>Ramzan</v>
          </cell>
          <cell r="C1994" t="str">
            <v>BUILDING ROOTS</v>
          </cell>
          <cell r="D1994" t="str">
            <v>Steel Fixer</v>
          </cell>
        </row>
        <row r="1995">
          <cell r="A1995" t="str">
            <v>2543114264</v>
          </cell>
          <cell r="B1995" t="str">
            <v>Ramzan Khan</v>
          </cell>
          <cell r="C1995" t="str">
            <v>TAMIMI</v>
          </cell>
          <cell r="D1995" t="str">
            <v>Helper</v>
          </cell>
        </row>
        <row r="1996">
          <cell r="A1996" t="str">
            <v>2524820160</v>
          </cell>
          <cell r="B1996" t="str">
            <v>Ramzi</v>
          </cell>
          <cell r="C1996" t="str">
            <v>ALMABANI CONT.</v>
          </cell>
          <cell r="D1996" t="str">
            <v>supervisor</v>
          </cell>
        </row>
        <row r="1997">
          <cell r="A1997" t="str">
            <v>2623539232</v>
          </cell>
          <cell r="B1997" t="str">
            <v>Ramzi Abdul</v>
          </cell>
          <cell r="C1997" t="str">
            <v>BUILDING ROOTS</v>
          </cell>
          <cell r="D1997" t="str">
            <v>Skid Loeder</v>
          </cell>
        </row>
        <row r="1998">
          <cell r="A1998" t="str">
            <v>2340576517</v>
          </cell>
          <cell r="B1998" t="str">
            <v>Ramzi razzaz</v>
          </cell>
          <cell r="C1998" t="str">
            <v>BUILDING ROOTS</v>
          </cell>
          <cell r="D1998" t="str">
            <v>Carpenter</v>
          </cell>
        </row>
        <row r="1999">
          <cell r="A1999" t="str">
            <v>2618271361</v>
          </cell>
          <cell r="B1999" t="str">
            <v>Rana Aurangzeb</v>
          </cell>
          <cell r="C1999" t="str">
            <v>BUILDING ROOTS</v>
          </cell>
          <cell r="D1999" t="str">
            <v>Steel Fixer</v>
          </cell>
        </row>
        <row r="2000">
          <cell r="A2000" t="str">
            <v>2624066326</v>
          </cell>
          <cell r="B2000" t="str">
            <v>Rana Islam</v>
          </cell>
          <cell r="C2000" t="str">
            <v>BUILDING ROOTS</v>
          </cell>
          <cell r="D2000" t="str">
            <v>Scaffolder</v>
          </cell>
        </row>
        <row r="2001">
          <cell r="A2001" t="str">
            <v>2462790755</v>
          </cell>
          <cell r="B2001" t="str">
            <v>Rasab Ali</v>
          </cell>
          <cell r="C2001" t="str">
            <v>SAUDI BAUER</v>
          </cell>
          <cell r="D2001" t="str">
            <v>Rig Operator</v>
          </cell>
        </row>
        <row r="2002">
          <cell r="A2002" t="str">
            <v>1108183037</v>
          </cell>
          <cell r="B2002" t="str">
            <v>Rashed Alblues</v>
          </cell>
          <cell r="C2002" t="str">
            <v>BOUYGUES CONST.</v>
          </cell>
          <cell r="D2002" t="str">
            <v>Hse Specialist</v>
          </cell>
        </row>
        <row r="2003">
          <cell r="A2003" t="str">
            <v>2532022775</v>
          </cell>
          <cell r="B2003" t="str">
            <v>Rashed Shabbir</v>
          </cell>
          <cell r="C2003" t="str">
            <v>ALMABANI CONT.</v>
          </cell>
          <cell r="D2003" t="str">
            <v>Painter</v>
          </cell>
        </row>
        <row r="2004">
          <cell r="A2004" t="str">
            <v>2630547665</v>
          </cell>
          <cell r="B2004" t="str">
            <v>Rashed uddin</v>
          </cell>
          <cell r="C2004" t="str">
            <v>ANNAQ</v>
          </cell>
          <cell r="D2004" t="str">
            <v>helper</v>
          </cell>
        </row>
        <row r="2005">
          <cell r="A2005" t="str">
            <v>2531232755</v>
          </cell>
          <cell r="B2005" t="str">
            <v>Rasheed Abdullah</v>
          </cell>
          <cell r="C2005" t="str">
            <v>BUILDING ROOTS</v>
          </cell>
          <cell r="D2005" t="str">
            <v>Carpenter</v>
          </cell>
        </row>
        <row r="2006">
          <cell r="A2006" t="str">
            <v>2548246434</v>
          </cell>
          <cell r="B2006" t="str">
            <v>Rashid</v>
          </cell>
          <cell r="C2006" t="str">
            <v>BUILDING ROOTS</v>
          </cell>
          <cell r="D2006" t="str">
            <v>Carpenter</v>
          </cell>
        </row>
        <row r="2007">
          <cell r="A2007" t="str">
            <v>2572540181</v>
          </cell>
          <cell r="B2007" t="str">
            <v>Rashid Ali</v>
          </cell>
          <cell r="C2007" t="str">
            <v>SAUDI BAUER</v>
          </cell>
          <cell r="D2007" t="str">
            <v>Excavator Opeator</v>
          </cell>
        </row>
        <row r="2008">
          <cell r="A2008" t="str">
            <v>2482055015</v>
          </cell>
          <cell r="B2008" t="str">
            <v>Rashid Iqbal</v>
          </cell>
          <cell r="C2008" t="str">
            <v>BUILDING ROOTS</v>
          </cell>
          <cell r="D2008" t="str">
            <v>Scaffolder</v>
          </cell>
        </row>
        <row r="2009">
          <cell r="A2009" t="str">
            <v>2613276217</v>
          </cell>
          <cell r="B2009" t="str">
            <v>Rashid khan</v>
          </cell>
          <cell r="C2009" t="str">
            <v>GLOBAL CASTLE</v>
          </cell>
          <cell r="D2009" t="str">
            <v>Mobile crane operator</v>
          </cell>
        </row>
        <row r="2010">
          <cell r="A2010" t="str">
            <v>2522653951</v>
          </cell>
          <cell r="B2010" t="str">
            <v>Rasid Jamil</v>
          </cell>
          <cell r="C2010" t="str">
            <v>ALMABANI CONT.</v>
          </cell>
          <cell r="D2010" t="str">
            <v>Electrician</v>
          </cell>
        </row>
        <row r="2011">
          <cell r="A2011" t="str">
            <v>2494567528</v>
          </cell>
          <cell r="B2011" t="str">
            <v>Rayhan Miah</v>
          </cell>
          <cell r="C2011" t="str">
            <v>TAMIMI</v>
          </cell>
          <cell r="D2011" t="str">
            <v>Carpenter</v>
          </cell>
        </row>
        <row r="2012">
          <cell r="A2012" t="str">
            <v>2551397306</v>
          </cell>
          <cell r="B2012" t="str">
            <v>Raz Muhammad</v>
          </cell>
          <cell r="C2012" t="str">
            <v>ELITE HEART</v>
          </cell>
          <cell r="D2012" t="str">
            <v>Labour</v>
          </cell>
        </row>
        <row r="2013">
          <cell r="A2013" t="str">
            <v>2556331540</v>
          </cell>
          <cell r="B2013" t="str">
            <v>Raza Ilahi</v>
          </cell>
          <cell r="C2013" t="str">
            <v>SAUDI BAUER</v>
          </cell>
          <cell r="D2013" t="str">
            <v>Helper</v>
          </cell>
        </row>
        <row r="2014">
          <cell r="A2014" t="str">
            <v>2516097397</v>
          </cell>
          <cell r="B2014" t="str">
            <v>Raza Khan</v>
          </cell>
          <cell r="C2014" t="str">
            <v>ELITE HEART</v>
          </cell>
          <cell r="D2014" t="str">
            <v>Steel Fixer</v>
          </cell>
        </row>
        <row r="2015">
          <cell r="A2015" t="str">
            <v>2577475474</v>
          </cell>
          <cell r="B2015" t="str">
            <v>Raziman Khan</v>
          </cell>
          <cell r="C2015" t="str">
            <v>BUILDING ROOTS</v>
          </cell>
          <cell r="D2015" t="str">
            <v>Carpenter</v>
          </cell>
        </row>
        <row r="2016">
          <cell r="A2016" t="str">
            <v>2324768980</v>
          </cell>
          <cell r="B2016" t="str">
            <v>Razzaq</v>
          </cell>
          <cell r="C2016" t="str">
            <v>ELITE HEART</v>
          </cell>
          <cell r="D2016" t="str">
            <v>Carpenter</v>
          </cell>
        </row>
        <row r="2017">
          <cell r="A2017" t="str">
            <v>2584381004</v>
          </cell>
          <cell r="B2017" t="str">
            <v>Reajul akon</v>
          </cell>
          <cell r="C2017" t="str">
            <v>GLOBAL CASTLE</v>
          </cell>
          <cell r="D2017" t="str">
            <v>helper</v>
          </cell>
        </row>
        <row r="2018">
          <cell r="A2018" t="str">
            <v>2617577271</v>
          </cell>
          <cell r="B2018" t="str">
            <v>Reda</v>
          </cell>
          <cell r="C2018" t="str">
            <v>Binyat  atatwir</v>
          </cell>
          <cell r="D2018" t="str">
            <v>CM</v>
          </cell>
        </row>
        <row r="2019">
          <cell r="A2019" t="str">
            <v>2545848547</v>
          </cell>
          <cell r="B2019" t="str">
            <v>Reham Ullah</v>
          </cell>
          <cell r="C2019" t="str">
            <v>ELITE HEART</v>
          </cell>
          <cell r="D2019" t="str">
            <v>Mason</v>
          </cell>
        </row>
        <row r="2020">
          <cell r="A2020" t="str">
            <v>2378128371</v>
          </cell>
          <cell r="B2020" t="str">
            <v>Rehan Akhtar</v>
          </cell>
          <cell r="C2020" t="str">
            <v>SAUDI BAUER</v>
          </cell>
          <cell r="D2020" t="str">
            <v>Electrician</v>
          </cell>
        </row>
        <row r="2021">
          <cell r="A2021" t="str">
            <v>2541607517</v>
          </cell>
          <cell r="B2021" t="str">
            <v>Rehan Ullah</v>
          </cell>
          <cell r="C2021" t="str">
            <v>ELITE HEART</v>
          </cell>
          <cell r="D2021" t="str">
            <v>Labour</v>
          </cell>
        </row>
        <row r="2022">
          <cell r="A2022" t="str">
            <v>2335159337</v>
          </cell>
          <cell r="B2022" t="str">
            <v>Rehman Abid</v>
          </cell>
          <cell r="C2022" t="str">
            <v>BUILDING ROOTS</v>
          </cell>
          <cell r="D2022" t="str">
            <v>Electrician</v>
          </cell>
        </row>
        <row r="2023">
          <cell r="A2023" t="str">
            <v>2520284288</v>
          </cell>
          <cell r="B2023" t="str">
            <v>Rehmat Ullah</v>
          </cell>
          <cell r="C2023" t="str">
            <v>ELITE HEART</v>
          </cell>
          <cell r="D2023" t="str">
            <v>Driver</v>
          </cell>
        </row>
        <row r="2024">
          <cell r="A2024" t="str">
            <v>2598646921</v>
          </cell>
          <cell r="B2024" t="str">
            <v>Rehmat Ullah</v>
          </cell>
          <cell r="C2024" t="str">
            <v>BUILDING ROOTS</v>
          </cell>
          <cell r="D2024" t="str">
            <v>Steel Fixer</v>
          </cell>
        </row>
        <row r="2025">
          <cell r="A2025" t="str">
            <v>2577167105</v>
          </cell>
          <cell r="B2025" t="str">
            <v>Reshed Miah</v>
          </cell>
          <cell r="C2025" t="str">
            <v>BUILDING ROOTS</v>
          </cell>
          <cell r="D2025" t="str">
            <v>Scaffolder</v>
          </cell>
        </row>
        <row r="2026">
          <cell r="A2026" t="str">
            <v>2563228705</v>
          </cell>
          <cell r="B2026" t="str">
            <v>Reyhan</v>
          </cell>
          <cell r="C2026" t="str">
            <v>BUILDING ROOTS</v>
          </cell>
          <cell r="D2026" t="str">
            <v>Scaffolder</v>
          </cell>
        </row>
        <row r="2027">
          <cell r="A2027" t="str">
            <v>2614765895</v>
          </cell>
          <cell r="B2027" t="str">
            <v>Rezaul Karim</v>
          </cell>
          <cell r="C2027" t="str">
            <v>GLOBAL CASTLES</v>
          </cell>
          <cell r="D2027" t="str">
            <v>Labour</v>
          </cell>
        </row>
        <row r="2028">
          <cell r="A2028" t="str">
            <v>2602057131</v>
          </cell>
          <cell r="B2028" t="str">
            <v>Rezwan Ahmed</v>
          </cell>
          <cell r="C2028" t="str">
            <v>BUILDING ROOTS</v>
          </cell>
          <cell r="D2028" t="str">
            <v>Scaffolder</v>
          </cell>
        </row>
        <row r="2029">
          <cell r="A2029" t="str">
            <v>2602906907</v>
          </cell>
          <cell r="B2029" t="str">
            <v>Riad Md</v>
          </cell>
          <cell r="C2029" t="str">
            <v>GLOBAL CASTLES</v>
          </cell>
          <cell r="D2029" t="str">
            <v>Labour</v>
          </cell>
        </row>
        <row r="2030">
          <cell r="A2030" t="str">
            <v>2576594069</v>
          </cell>
          <cell r="B2030" t="str">
            <v>Riatul Haque</v>
          </cell>
          <cell r="C2030" t="str">
            <v>GLOBAL CASTLES</v>
          </cell>
          <cell r="D2030" t="str">
            <v>Plumber</v>
          </cell>
        </row>
        <row r="2031">
          <cell r="A2031" t="str">
            <v>2554185518</v>
          </cell>
          <cell r="B2031" t="str">
            <v>Riaz</v>
          </cell>
          <cell r="C2031" t="str">
            <v>ELITE HEART</v>
          </cell>
          <cell r="D2031" t="str">
            <v>Labour</v>
          </cell>
        </row>
        <row r="2032">
          <cell r="A2032" t="str">
            <v>2629965662</v>
          </cell>
          <cell r="B2032" t="str">
            <v>Riaz</v>
          </cell>
          <cell r="C2032" t="str">
            <v>ANNAQ</v>
          </cell>
          <cell r="D2032" t="str">
            <v>Helper</v>
          </cell>
        </row>
        <row r="2033">
          <cell r="A2033" t="str">
            <v>2169813595</v>
          </cell>
          <cell r="B2033" t="str">
            <v>Riaz Khan</v>
          </cell>
          <cell r="C2033" t="str">
            <v>ELITE HEART</v>
          </cell>
          <cell r="D2033" t="str">
            <v>Foreman</v>
          </cell>
        </row>
        <row r="2034">
          <cell r="A2034" t="str">
            <v>2538571809</v>
          </cell>
          <cell r="B2034" t="str">
            <v>Richard</v>
          </cell>
          <cell r="C2034" t="str">
            <v>BOUYGUES CONST.</v>
          </cell>
          <cell r="D2034" t="str">
            <v>Bim Coordinator</v>
          </cell>
        </row>
        <row r="2035">
          <cell r="A2035" t="str">
            <v>2615649536</v>
          </cell>
          <cell r="B2035" t="str">
            <v>Rider Maizi</v>
          </cell>
          <cell r="C2035" t="str">
            <v>BUILDING ROOTS</v>
          </cell>
          <cell r="D2035" t="str">
            <v>Steel Fixer</v>
          </cell>
        </row>
        <row r="2036">
          <cell r="A2036" t="str">
            <v>2539054474</v>
          </cell>
          <cell r="B2036" t="str">
            <v>Rifai Mohamed Nafly</v>
          </cell>
          <cell r="C2036" t="str">
            <v>JV (BBI-AGC)</v>
          </cell>
          <cell r="D2036" t="str">
            <v>Quantity Surveyor</v>
          </cell>
        </row>
        <row r="2037">
          <cell r="A2037" t="str">
            <v>2617793290</v>
          </cell>
          <cell r="B2037" t="str">
            <v>Rifat Ullah</v>
          </cell>
          <cell r="C2037" t="str">
            <v>BUILDING ROOTS</v>
          </cell>
          <cell r="D2037" t="str">
            <v>Carpenter</v>
          </cell>
        </row>
        <row r="2038">
          <cell r="A2038" t="str">
            <v>2575732538</v>
          </cell>
          <cell r="B2038" t="str">
            <v>Ripon</v>
          </cell>
          <cell r="C2038" t="str">
            <v>PRAINSA</v>
          </cell>
          <cell r="D2038" t="str">
            <v>labor</v>
          </cell>
        </row>
        <row r="2039">
          <cell r="A2039" t="str">
            <v>2550264242</v>
          </cell>
          <cell r="B2039" t="str">
            <v>Ripon Mia</v>
          </cell>
          <cell r="C2039" t="str">
            <v>GLOBAL CASTLES</v>
          </cell>
          <cell r="D2039" t="str">
            <v>Labour</v>
          </cell>
        </row>
        <row r="2040">
          <cell r="A2040" t="str">
            <v>2620106522</v>
          </cell>
          <cell r="B2040" t="str">
            <v>Ripon Mia</v>
          </cell>
          <cell r="C2040" t="str">
            <v>GLOBAL CASTLES</v>
          </cell>
          <cell r="D2040" t="str">
            <v>Steel Fixer</v>
          </cell>
        </row>
        <row r="2041">
          <cell r="A2041" t="str">
            <v>2541333429</v>
          </cell>
          <cell r="B2041" t="str">
            <v>Ripon Munshi</v>
          </cell>
          <cell r="C2041" t="str">
            <v>BUILDING ROOTS</v>
          </cell>
          <cell r="D2041" t="str">
            <v>Scaffolder</v>
          </cell>
        </row>
        <row r="2042">
          <cell r="A2042" t="str">
            <v>2511152841</v>
          </cell>
          <cell r="B2042" t="str">
            <v>Ripon Sheikh</v>
          </cell>
          <cell r="C2042" t="str">
            <v>GLOBAL CASTLES</v>
          </cell>
          <cell r="D2042" t="str">
            <v>Welder</v>
          </cell>
        </row>
        <row r="2043">
          <cell r="A2043" t="str">
            <v>2482922172</v>
          </cell>
          <cell r="B2043" t="str">
            <v>Ripon nazrul</v>
          </cell>
          <cell r="C2043" t="str">
            <v>BUILDING ROOTS</v>
          </cell>
          <cell r="D2043" t="str">
            <v>Steel Fixer</v>
          </cell>
        </row>
        <row r="2044">
          <cell r="A2044" t="str">
            <v>2577601525</v>
          </cell>
          <cell r="B2044" t="str">
            <v>Risal PA</v>
          </cell>
          <cell r="C2044" t="str">
            <v>APPLUS ARABIA</v>
          </cell>
          <cell r="D2044" t="str">
            <v>HSE Lead</v>
          </cell>
        </row>
        <row r="2045">
          <cell r="A2045" t="str">
            <v>2542171752</v>
          </cell>
          <cell r="B2045" t="str">
            <v>Riyadh Aziz</v>
          </cell>
          <cell r="C2045" t="str">
            <v>IDEA AND FLOW</v>
          </cell>
          <cell r="D2045" t="str">
            <v>Supervisor</v>
          </cell>
        </row>
        <row r="2046">
          <cell r="A2046" t="str">
            <v>2551727601</v>
          </cell>
          <cell r="B2046" t="str">
            <v>Riyadh Omar</v>
          </cell>
          <cell r="C2046" t="str">
            <v>BUILDING ROOTS</v>
          </cell>
          <cell r="D2046" t="str">
            <v>Skid Loader Operator</v>
          </cell>
        </row>
        <row r="2047">
          <cell r="A2047" t="str">
            <v>2526527276</v>
          </cell>
          <cell r="B2047" t="str">
            <v>Rizwan</v>
          </cell>
          <cell r="C2047" t="str">
            <v>BUILDING ROOTS</v>
          </cell>
          <cell r="D2047" t="str">
            <v>Steel Fixer</v>
          </cell>
        </row>
        <row r="2048">
          <cell r="A2048" t="str">
            <v>2299315032</v>
          </cell>
          <cell r="B2048" t="str">
            <v>Rizwan Ali</v>
          </cell>
          <cell r="C2048" t="str">
            <v>ELITE HEART</v>
          </cell>
          <cell r="D2048" t="str">
            <v>Foreman Carpenter</v>
          </cell>
        </row>
        <row r="2049">
          <cell r="A2049" t="str">
            <v>2543255585</v>
          </cell>
          <cell r="B2049" t="str">
            <v>Rizwan Kiani</v>
          </cell>
          <cell r="C2049" t="str">
            <v>TAMIMI</v>
          </cell>
          <cell r="D2049" t="str">
            <v>Electrician</v>
          </cell>
        </row>
        <row r="2050">
          <cell r="A2050" t="str">
            <v>2523492508</v>
          </cell>
          <cell r="B2050" t="str">
            <v>Rizwan Moosa</v>
          </cell>
          <cell r="C2050" t="str">
            <v>ALMABANI CONT.</v>
          </cell>
          <cell r="D2050" t="str">
            <v>Electrician</v>
          </cell>
        </row>
        <row r="2051">
          <cell r="A2051" t="str">
            <v>2603609559</v>
          </cell>
          <cell r="B2051" t="str">
            <v>Rizwan Ullah</v>
          </cell>
          <cell r="C2051" t="str">
            <v>BUILDING ROOTS</v>
          </cell>
          <cell r="D2051" t="str">
            <v>Labour</v>
          </cell>
        </row>
        <row r="2052">
          <cell r="A2052" t="str">
            <v>2618880344</v>
          </cell>
          <cell r="B2052" t="str">
            <v>Rizwan Ullah</v>
          </cell>
          <cell r="C2052" t="str">
            <v>BUILDING ROOTS</v>
          </cell>
          <cell r="D2052" t="str">
            <v>Carpenter</v>
          </cell>
        </row>
        <row r="2053">
          <cell r="A2053" t="str">
            <v>2617717471</v>
          </cell>
          <cell r="B2053" t="str">
            <v>Rizwan Ullah</v>
          </cell>
          <cell r="C2053" t="str">
            <v>GULF UNITED</v>
          </cell>
          <cell r="D2053" t="str">
            <v>Fire Watch</v>
          </cell>
        </row>
        <row r="2054">
          <cell r="A2054" t="str">
            <v>2608592446</v>
          </cell>
          <cell r="B2054" t="str">
            <v>Rob Bunworth</v>
          </cell>
          <cell r="C2054" t="str">
            <v>QIDDIYA</v>
          </cell>
          <cell r="D2054" t="str">
            <v>Design Director</v>
          </cell>
        </row>
        <row r="2055">
          <cell r="A2055" t="str">
            <v>2608117145</v>
          </cell>
          <cell r="B2055" t="str">
            <v>Robel</v>
          </cell>
          <cell r="C2055" t="str">
            <v>BUILDING ROOTS</v>
          </cell>
          <cell r="D2055" t="str">
            <v>Steel Fixer</v>
          </cell>
        </row>
        <row r="2056">
          <cell r="A2056" t="str">
            <v>143628291</v>
          </cell>
          <cell r="B2056" t="str">
            <v>Robert Cropper</v>
          </cell>
          <cell r="C2056" t="str">
            <v>POPULOUS</v>
          </cell>
          <cell r="D2056" t="str">
            <v>Architect</v>
          </cell>
        </row>
        <row r="2057">
          <cell r="A2057" t="str">
            <v>2545457323</v>
          </cell>
          <cell r="B2057" t="str">
            <v>Robild</v>
          </cell>
          <cell r="C2057" t="str">
            <v>JV (BBI-AGC)</v>
          </cell>
          <cell r="D2057" t="str">
            <v>-</v>
          </cell>
        </row>
        <row r="2058">
          <cell r="A2058" t="str">
            <v>2614290340</v>
          </cell>
          <cell r="B2058" t="str">
            <v>Rohan Buckuey</v>
          </cell>
          <cell r="C2058" t="str">
            <v>QIDDIYA</v>
          </cell>
          <cell r="D2058" t="str">
            <v>Mr</v>
          </cell>
        </row>
        <row r="2059">
          <cell r="A2059" t="str">
            <v>2633197526</v>
          </cell>
          <cell r="B2059" t="str">
            <v>Roheh mia</v>
          </cell>
          <cell r="C2059" t="str">
            <v>BUILDING ROOTS</v>
          </cell>
          <cell r="D2059" t="str">
            <v>Carpenter</v>
          </cell>
        </row>
        <row r="2060">
          <cell r="A2060" t="str">
            <v>2546914926</v>
          </cell>
          <cell r="B2060" t="str">
            <v>Rohit Givi</v>
          </cell>
          <cell r="C2060" t="str">
            <v>ELITE HEART</v>
          </cell>
          <cell r="D2060" t="str">
            <v>Excavator Operator</v>
          </cell>
        </row>
        <row r="2061">
          <cell r="A2061" t="str">
            <v>2537629418</v>
          </cell>
          <cell r="B2061" t="str">
            <v>Rohitmiya</v>
          </cell>
          <cell r="C2061" t="str">
            <v>BUILDING ROOTS</v>
          </cell>
          <cell r="D2061" t="str">
            <v>Steel Fixer</v>
          </cell>
        </row>
        <row r="2062">
          <cell r="A2062" t="str">
            <v>2442588931</v>
          </cell>
          <cell r="B2062" t="str">
            <v>Rokon</v>
          </cell>
          <cell r="C2062" t="str">
            <v>JV (BBI-AGC)</v>
          </cell>
          <cell r="D2062" t="str">
            <v>Forman Plumbur</v>
          </cell>
        </row>
        <row r="2063">
          <cell r="A2063" t="str">
            <v>2239695311</v>
          </cell>
          <cell r="B2063" t="str">
            <v>Roland Rizkallah</v>
          </cell>
          <cell r="C2063" t="str">
            <v>ALMABANI CONT.</v>
          </cell>
          <cell r="D2063" t="str">
            <v>Surveyor Manager</v>
          </cell>
        </row>
        <row r="2064">
          <cell r="A2064" t="str">
            <v>2595808882</v>
          </cell>
          <cell r="B2064" t="str">
            <v>Roman Ahmad</v>
          </cell>
          <cell r="C2064" t="str">
            <v>BUILDING ROOTS</v>
          </cell>
          <cell r="D2064" t="str">
            <v>Scaffolder</v>
          </cell>
        </row>
        <row r="2065">
          <cell r="A2065" t="str">
            <v>2594313872</v>
          </cell>
          <cell r="B2065" t="str">
            <v>Roman Khan</v>
          </cell>
          <cell r="C2065" t="str">
            <v>SAUDI BAUER</v>
          </cell>
          <cell r="D2065" t="str">
            <v>Helper</v>
          </cell>
        </row>
        <row r="2066">
          <cell r="A2066" t="str">
            <v>2526175654</v>
          </cell>
          <cell r="B2066" t="str">
            <v>Ronald Corpuz</v>
          </cell>
          <cell r="C2066" t="str">
            <v>BOUYGUES CONST.</v>
          </cell>
          <cell r="D2066" t="str">
            <v>Creative Design</v>
          </cell>
        </row>
        <row r="2067">
          <cell r="A2067" t="str">
            <v>2526176009</v>
          </cell>
          <cell r="B2067" t="str">
            <v>Ronelle Castolo</v>
          </cell>
          <cell r="C2067" t="str">
            <v>BOUYGUES CONST.</v>
          </cell>
          <cell r="D2067" t="str">
            <v>Mep Bim Coordinator</v>
          </cell>
        </row>
        <row r="2068">
          <cell r="A2068" t="str">
            <v>2488344501</v>
          </cell>
          <cell r="B2068" t="str">
            <v>Roni madbor</v>
          </cell>
          <cell r="C2068" t="str">
            <v>BUILDING ROOTS</v>
          </cell>
          <cell r="D2068" t="str">
            <v>Scaffolder</v>
          </cell>
        </row>
        <row r="2069">
          <cell r="A2069" t="str">
            <v>2615009046</v>
          </cell>
          <cell r="B2069" t="str">
            <v>Rooh Muhammad</v>
          </cell>
          <cell r="C2069" t="str">
            <v>BUILDING ROOTS</v>
          </cell>
          <cell r="D2069" t="str">
            <v>Carpenter</v>
          </cell>
        </row>
        <row r="2070">
          <cell r="A2070" t="str">
            <v>2600757120</v>
          </cell>
          <cell r="B2070" t="str">
            <v>Rooh Ullah</v>
          </cell>
          <cell r="C2070" t="str">
            <v>BUILDING ROOTS</v>
          </cell>
          <cell r="D2070" t="str">
            <v>Steel Fixer</v>
          </cell>
        </row>
        <row r="2071">
          <cell r="A2071" t="str">
            <v>2596385258</v>
          </cell>
          <cell r="B2071" t="str">
            <v>Rosan Ali</v>
          </cell>
          <cell r="C2071" t="str">
            <v>BUILDING ROOTS</v>
          </cell>
          <cell r="D2071" t="str">
            <v>Scaffolder</v>
          </cell>
        </row>
        <row r="2072">
          <cell r="A2072" t="str">
            <v>2587384232</v>
          </cell>
          <cell r="B2072" t="str">
            <v>Rostam Ali</v>
          </cell>
          <cell r="C2072" t="str">
            <v>AL AZANI</v>
          </cell>
          <cell r="D2072" t="str">
            <v>Jcb Operator</v>
          </cell>
        </row>
        <row r="2073">
          <cell r="A2073" t="str">
            <v>2552069045</v>
          </cell>
          <cell r="B2073" t="str">
            <v>Rowaid Khan</v>
          </cell>
          <cell r="C2073" t="str">
            <v>SAUDI BAUER</v>
          </cell>
          <cell r="D2073" t="str">
            <v>Steel Fixer</v>
          </cell>
        </row>
        <row r="2074">
          <cell r="A2074" t="str">
            <v>2585618164</v>
          </cell>
          <cell r="B2074" t="str">
            <v>Rubil Sheikh</v>
          </cell>
          <cell r="C2074" t="str">
            <v>ELITE HEART</v>
          </cell>
          <cell r="D2074" t="str">
            <v>Scaffolder</v>
          </cell>
        </row>
        <row r="2075">
          <cell r="A2075" t="str">
            <v>2321334136</v>
          </cell>
          <cell r="B2075" t="str">
            <v>S. Peter</v>
          </cell>
          <cell r="C2075" t="str">
            <v>PRAINSA</v>
          </cell>
          <cell r="D2075" t="str">
            <v>Supervisor</v>
          </cell>
        </row>
        <row r="2076">
          <cell r="A2076" t="str">
            <v>2609538398</v>
          </cell>
          <cell r="B2076" t="str">
            <v>Saad</v>
          </cell>
          <cell r="C2076" t="str">
            <v>ELITE HEART</v>
          </cell>
          <cell r="D2076" t="str">
            <v>Steel Fixer</v>
          </cell>
        </row>
        <row r="2077">
          <cell r="A2077" t="str">
            <v>2430555769</v>
          </cell>
          <cell r="B2077" t="str">
            <v>Saad Ahmed</v>
          </cell>
          <cell r="C2077" t="str">
            <v>TAMIMI</v>
          </cell>
          <cell r="D2077" t="str">
            <v>Carpenter</v>
          </cell>
        </row>
        <row r="2078">
          <cell r="A2078" t="str">
            <v>1135073565</v>
          </cell>
          <cell r="B2078" t="str">
            <v>Saad Alghamdi</v>
          </cell>
          <cell r="C2078" t="str">
            <v>AL JOHARAH</v>
          </cell>
          <cell r="D2078" t="str">
            <v>Security Officer</v>
          </cell>
        </row>
        <row r="2079">
          <cell r="A2079" t="str">
            <v>1138322795</v>
          </cell>
          <cell r="B2079" t="str">
            <v>Saad Mobarak</v>
          </cell>
          <cell r="C2079" t="str">
            <v>AL JOHARAH</v>
          </cell>
          <cell r="D2079" t="str">
            <v>Security Officer</v>
          </cell>
        </row>
        <row r="2080">
          <cell r="A2080" t="str">
            <v>2297601227</v>
          </cell>
          <cell r="B2080" t="str">
            <v>Sabin</v>
          </cell>
          <cell r="C2080" t="str">
            <v>ARABIAN TOWER</v>
          </cell>
          <cell r="D2080" t="str">
            <v>Electrician</v>
          </cell>
        </row>
        <row r="2081">
          <cell r="A2081" t="str">
            <v>2612814927</v>
          </cell>
          <cell r="B2081" t="str">
            <v>Sabir Khan</v>
          </cell>
          <cell r="C2081" t="str">
            <v>BUILDING ROOTS</v>
          </cell>
          <cell r="D2081" t="str">
            <v>Labour</v>
          </cell>
        </row>
        <row r="2082">
          <cell r="A2082" t="str">
            <v>2510392364</v>
          </cell>
          <cell r="B2082" t="str">
            <v>Sabir Muhammad</v>
          </cell>
          <cell r="C2082" t="str">
            <v>ALMABANI CONT.</v>
          </cell>
          <cell r="D2082" t="str">
            <v>Surveyor</v>
          </cell>
        </row>
        <row r="2083">
          <cell r="A2083" t="str">
            <v>2612286050</v>
          </cell>
          <cell r="B2083" t="str">
            <v>Sabirahman</v>
          </cell>
          <cell r="C2083" t="str">
            <v>ELITE HEART</v>
          </cell>
          <cell r="D2083" t="str">
            <v>Scaffolder</v>
          </cell>
        </row>
        <row r="2084">
          <cell r="A2084" t="str">
            <v>2568375238</v>
          </cell>
          <cell r="B2084" t="str">
            <v>Sabr Ali</v>
          </cell>
          <cell r="C2084" t="str">
            <v>BUILDING ROOTS</v>
          </cell>
          <cell r="D2084" t="str">
            <v>Crane Operator</v>
          </cell>
        </row>
        <row r="2085">
          <cell r="A2085" t="str">
            <v>2609887340</v>
          </cell>
          <cell r="B2085" t="str">
            <v>Sabuj Mobarak</v>
          </cell>
          <cell r="C2085" t="str">
            <v>GLOBAL CASTLES</v>
          </cell>
          <cell r="D2085" t="str">
            <v>Labour</v>
          </cell>
        </row>
        <row r="2086">
          <cell r="A2086" t="str">
            <v>2414287233</v>
          </cell>
          <cell r="B2086" t="str">
            <v>Sadam</v>
          </cell>
          <cell r="C2086" t="str">
            <v>TAMIMI</v>
          </cell>
          <cell r="D2086" t="str">
            <v>Aci</v>
          </cell>
        </row>
        <row r="2087">
          <cell r="A2087" t="str">
            <v>2433011901</v>
          </cell>
          <cell r="B2087" t="str">
            <v>Sadam</v>
          </cell>
          <cell r="C2087" t="str">
            <v>BUILDING ROOTS</v>
          </cell>
          <cell r="D2087" t="str">
            <v>Labour</v>
          </cell>
        </row>
        <row r="2088">
          <cell r="A2088" t="str">
            <v>2630951632</v>
          </cell>
          <cell r="B2088" t="str">
            <v>Sadam Hussain</v>
          </cell>
          <cell r="C2088" t="str">
            <v>BUILDING ROOTS</v>
          </cell>
          <cell r="D2088" t="str">
            <v>Carpenter</v>
          </cell>
        </row>
        <row r="2089">
          <cell r="A2089" t="str">
            <v>2630458541</v>
          </cell>
          <cell r="B2089" t="str">
            <v>Sadar Ali Khan</v>
          </cell>
          <cell r="C2089" t="str">
            <v>BUILDING ROOTS</v>
          </cell>
          <cell r="D2089" t="str">
            <v>Labour</v>
          </cell>
        </row>
        <row r="2090">
          <cell r="A2090" t="str">
            <v>2562381703</v>
          </cell>
          <cell r="B2090" t="str">
            <v>Sadar Gul</v>
          </cell>
          <cell r="C2090" t="str">
            <v>SAUDI BAUER</v>
          </cell>
          <cell r="D2090" t="str">
            <v>Steel Fixer</v>
          </cell>
        </row>
        <row r="2091">
          <cell r="A2091" t="str">
            <v>2580846653</v>
          </cell>
          <cell r="B2091" t="str">
            <v>Sadd</v>
          </cell>
          <cell r="C2091" t="str">
            <v>SAUDI BAUER</v>
          </cell>
          <cell r="D2091" t="str">
            <v>Foreman</v>
          </cell>
        </row>
        <row r="2092">
          <cell r="A2092" t="str">
            <v>2532120124</v>
          </cell>
          <cell r="B2092" t="str">
            <v>Saddam</v>
          </cell>
          <cell r="C2092" t="str">
            <v>ALMABANI CONT.</v>
          </cell>
          <cell r="D2092" t="str">
            <v>Electrician</v>
          </cell>
        </row>
        <row r="2093">
          <cell r="A2093" t="str">
            <v>2507241129</v>
          </cell>
          <cell r="B2093" t="str">
            <v>Saddam Hossain</v>
          </cell>
          <cell r="C2093" t="str">
            <v>GLOBAL CASTLES</v>
          </cell>
          <cell r="D2093" t="str">
            <v>Carpenter</v>
          </cell>
        </row>
        <row r="2094">
          <cell r="A2094" t="str">
            <v>2517359929</v>
          </cell>
          <cell r="B2094" t="str">
            <v>Saddam Hussain</v>
          </cell>
          <cell r="C2094" t="str">
            <v>AALICO</v>
          </cell>
          <cell r="D2094" t="str">
            <v>Hse Manager</v>
          </cell>
        </row>
        <row r="2095">
          <cell r="A2095" t="str">
            <v>2579782828</v>
          </cell>
          <cell r="B2095" t="str">
            <v>Saddam hussain</v>
          </cell>
          <cell r="C2095" t="str">
            <v>BUILDING ROOTS</v>
          </cell>
          <cell r="D2095" t="str">
            <v>Steel Fixer</v>
          </cell>
        </row>
        <row r="2096">
          <cell r="A2096" t="str">
            <v>2611053832</v>
          </cell>
          <cell r="B2096" t="str">
            <v>Saddat Hussain</v>
          </cell>
          <cell r="C2096" t="str">
            <v>BUILDING ROOTS</v>
          </cell>
          <cell r="D2096" t="str">
            <v>Carpenter</v>
          </cell>
        </row>
        <row r="2097">
          <cell r="A2097" t="str">
            <v>2560407294</v>
          </cell>
          <cell r="B2097" t="str">
            <v>Sadeel</v>
          </cell>
          <cell r="C2097" t="str">
            <v>JV (BBI-AGC)</v>
          </cell>
          <cell r="D2097" t="str">
            <v>Boom Truck Operator</v>
          </cell>
        </row>
        <row r="2098">
          <cell r="A2098" t="str">
            <v>2412939957</v>
          </cell>
          <cell r="B2098" t="str">
            <v>Sadeeq Ul Haq</v>
          </cell>
          <cell r="C2098" t="str">
            <v>BUILDING ROOTS</v>
          </cell>
          <cell r="D2098" t="str">
            <v>Helper</v>
          </cell>
        </row>
        <row r="2099">
          <cell r="A2099" t="str">
            <v>2631139041</v>
          </cell>
          <cell r="B2099" t="str">
            <v>Sadeeq Ullah</v>
          </cell>
          <cell r="C2099" t="str">
            <v>BUILDING ROOTS</v>
          </cell>
          <cell r="D2099" t="str">
            <v>Carpenter</v>
          </cell>
        </row>
        <row r="2100">
          <cell r="A2100" t="str">
            <v>2562143574</v>
          </cell>
          <cell r="B2100" t="str">
            <v>Sadek Hassan</v>
          </cell>
          <cell r="C2100" t="str">
            <v>BUILDING ROOTS</v>
          </cell>
          <cell r="D2100" t="str">
            <v>Carpenter</v>
          </cell>
        </row>
        <row r="2101">
          <cell r="A2101" t="str">
            <v>2494849272</v>
          </cell>
          <cell r="B2101" t="str">
            <v>Sadik mia</v>
          </cell>
          <cell r="C2101" t="str">
            <v>GLOBAL CASTLE</v>
          </cell>
          <cell r="D2101" t="str">
            <v>Scaffolder</v>
          </cell>
        </row>
        <row r="2102">
          <cell r="A2102" t="str">
            <v>2555278015</v>
          </cell>
          <cell r="B2102" t="str">
            <v>Sadin Ahmed</v>
          </cell>
          <cell r="C2102" t="str">
            <v>GLOBAL CASTLES</v>
          </cell>
          <cell r="D2102" t="str">
            <v>Gang Leader</v>
          </cell>
        </row>
        <row r="2103">
          <cell r="A2103" t="str">
            <v>2576192013</v>
          </cell>
          <cell r="B2103" t="str">
            <v>Sadiq Khan</v>
          </cell>
          <cell r="C2103" t="str">
            <v>GLOBAL CASTLES</v>
          </cell>
          <cell r="D2103" t="str">
            <v>Carpenter</v>
          </cell>
        </row>
        <row r="2104">
          <cell r="A2104" t="str">
            <v>2618965749</v>
          </cell>
          <cell r="B2104" t="str">
            <v>Sadiq Shah</v>
          </cell>
          <cell r="C2104" t="str">
            <v>ELITE HEART</v>
          </cell>
          <cell r="D2104" t="str">
            <v>Steel Fixer</v>
          </cell>
        </row>
        <row r="2105">
          <cell r="A2105" t="str">
            <v>2526231481</v>
          </cell>
          <cell r="B2105" t="str">
            <v>Sadiq Ullah</v>
          </cell>
          <cell r="C2105" t="str">
            <v>SAUDI BAUER</v>
          </cell>
          <cell r="D2105" t="str">
            <v>Qc Helper</v>
          </cell>
        </row>
        <row r="2106">
          <cell r="A2106" t="str">
            <v>2528543972</v>
          </cell>
          <cell r="B2106" t="str">
            <v>Sadre Alam</v>
          </cell>
          <cell r="C2106" t="str">
            <v>ALMABANI CONT.</v>
          </cell>
          <cell r="D2106" t="str">
            <v>Electrician</v>
          </cell>
        </row>
        <row r="2107">
          <cell r="A2107" t="str">
            <v>1130449703</v>
          </cell>
          <cell r="B2107" t="str">
            <v>Saeed Al-Ghamdi</v>
          </cell>
          <cell r="C2107" t="str">
            <v>BOUYGUES CONST.</v>
          </cell>
          <cell r="D2107" t="str">
            <v>Site Supervisor</v>
          </cell>
        </row>
        <row r="2108">
          <cell r="A2108" t="str">
            <v>2529452621</v>
          </cell>
          <cell r="B2108" t="str">
            <v>Saeed Anwar</v>
          </cell>
          <cell r="C2108" t="str">
            <v>ELITE HEART</v>
          </cell>
          <cell r="D2108" t="str">
            <v>Surveyor Engineer</v>
          </cell>
        </row>
        <row r="2109">
          <cell r="A2109" t="str">
            <v>2563949060</v>
          </cell>
          <cell r="B2109" t="str">
            <v>Saeed Ullah</v>
          </cell>
          <cell r="C2109" t="str">
            <v>BUILDING ROOTS</v>
          </cell>
          <cell r="D2109" t="str">
            <v>Scaffolder</v>
          </cell>
        </row>
        <row r="2110">
          <cell r="A2110" t="str">
            <v>2612394474</v>
          </cell>
          <cell r="B2110" t="str">
            <v>Saeed ahmad muhammad</v>
          </cell>
          <cell r="C2110" t="str">
            <v>JV Rental</v>
          </cell>
          <cell r="D2110" t="str">
            <v>Grader operator</v>
          </cell>
        </row>
        <row r="2111">
          <cell r="A2111" t="str">
            <v>2412264182</v>
          </cell>
          <cell r="B2111" t="str">
            <v>Saeed islam</v>
          </cell>
          <cell r="C2111" t="str">
            <v>BUILDING ROOTS</v>
          </cell>
          <cell r="D2111" t="str">
            <v>Carpenter</v>
          </cell>
        </row>
        <row r="2112">
          <cell r="A2112" t="str">
            <v>2978847193</v>
          </cell>
          <cell r="B2112" t="str">
            <v>Saeed ullah</v>
          </cell>
          <cell r="C2112" t="str">
            <v>BUILDING ROOTS</v>
          </cell>
          <cell r="D2112" t="str">
            <v>Labor</v>
          </cell>
        </row>
        <row r="2113">
          <cell r="A2113" t="str">
            <v>2407832308</v>
          </cell>
          <cell r="B2113" t="str">
            <v>Saeed ullah</v>
          </cell>
          <cell r="C2113" t="str">
            <v>BUILDING ROOTS</v>
          </cell>
          <cell r="D2113" t="str">
            <v>Carpenter</v>
          </cell>
        </row>
        <row r="2114">
          <cell r="A2114" t="str">
            <v>2492498874</v>
          </cell>
          <cell r="B2114" t="str">
            <v>Safayat</v>
          </cell>
          <cell r="C2114" t="str">
            <v>BUILDING ROOTS</v>
          </cell>
          <cell r="D2114" t="str">
            <v>Scaffolder</v>
          </cell>
        </row>
        <row r="2115">
          <cell r="A2115" t="str">
            <v>2533380107</v>
          </cell>
          <cell r="B2115" t="str">
            <v>Safdar Aki</v>
          </cell>
          <cell r="C2115" t="str">
            <v>BUILDING ROOTS</v>
          </cell>
          <cell r="D2115" t="str">
            <v>Labour</v>
          </cell>
        </row>
        <row r="2116">
          <cell r="A2116" t="str">
            <v>2507797104</v>
          </cell>
          <cell r="B2116" t="str">
            <v>Safdar Shaheen</v>
          </cell>
          <cell r="C2116" t="str">
            <v>SAUDI BAUER</v>
          </cell>
          <cell r="D2116" t="str">
            <v>Mechanical Team</v>
          </cell>
        </row>
        <row r="2117">
          <cell r="A2117" t="str">
            <v>2589693783</v>
          </cell>
          <cell r="B2117" t="str">
            <v>Safeek tofeek</v>
          </cell>
          <cell r="C2117" t="str">
            <v>UNITED GULF</v>
          </cell>
          <cell r="D2117" t="str">
            <v>Welder</v>
          </cell>
        </row>
        <row r="2118">
          <cell r="A2118" t="str">
            <v>2529034775</v>
          </cell>
          <cell r="B2118" t="str">
            <v>Safeer</v>
          </cell>
          <cell r="C2118" t="str">
            <v>ALMABANI CONT.</v>
          </cell>
          <cell r="D2118" t="str">
            <v>Flagman</v>
          </cell>
        </row>
        <row r="2119">
          <cell r="A2119" t="str">
            <v>2587688041</v>
          </cell>
          <cell r="B2119" t="str">
            <v>Safeer Abbas</v>
          </cell>
          <cell r="C2119" t="str">
            <v>SAUDI BAUER</v>
          </cell>
          <cell r="D2119" t="str">
            <v>Hse</v>
          </cell>
        </row>
        <row r="2120">
          <cell r="A2120" t="str">
            <v>2628824793</v>
          </cell>
          <cell r="B2120" t="str">
            <v>Safikul</v>
          </cell>
          <cell r="C2120" t="str">
            <v>ELITE HEART</v>
          </cell>
          <cell r="D2120" t="str">
            <v>Helper</v>
          </cell>
        </row>
        <row r="2121">
          <cell r="A2121" t="str">
            <v>2542866385</v>
          </cell>
          <cell r="B2121" t="str">
            <v>Safikul Islam</v>
          </cell>
          <cell r="C2121" t="str">
            <v>BUILDING ROOTS</v>
          </cell>
          <cell r="D2121" t="str">
            <v>Steel Fixer</v>
          </cell>
        </row>
        <row r="2122">
          <cell r="A2122" t="str">
            <v>2594193753</v>
          </cell>
          <cell r="B2122" t="str">
            <v>Safiqul Islam</v>
          </cell>
          <cell r="C2122" t="str">
            <v>BUILDING ROOTS</v>
          </cell>
          <cell r="D2122" t="str">
            <v>Carpenter</v>
          </cell>
        </row>
        <row r="2123">
          <cell r="A2123" t="str">
            <v>2188559922</v>
          </cell>
          <cell r="B2123" t="str">
            <v>Safiqurehman</v>
          </cell>
          <cell r="C2123" t="str">
            <v>TAMIMI</v>
          </cell>
          <cell r="D2123" t="str">
            <v>Carpenter</v>
          </cell>
        </row>
        <row r="2124">
          <cell r="A2124" t="str">
            <v>2627571991</v>
          </cell>
          <cell r="B2124" t="str">
            <v>Safiraja Khan</v>
          </cell>
          <cell r="C2124" t="str">
            <v>GLOBAL CASTLES</v>
          </cell>
          <cell r="D2124" t="str">
            <v>Rigger</v>
          </cell>
        </row>
        <row r="2125">
          <cell r="A2125" t="str">
            <v>2533827669</v>
          </cell>
          <cell r="B2125" t="str">
            <v>Safron</v>
          </cell>
          <cell r="C2125" t="str">
            <v>GLOBAL CASTLES</v>
          </cell>
          <cell r="D2125" t="str">
            <v>Electrician</v>
          </cell>
        </row>
        <row r="2126">
          <cell r="A2126" t="str">
            <v>2571455456</v>
          </cell>
          <cell r="B2126" t="str">
            <v>Safwan Ali</v>
          </cell>
          <cell r="C2126" t="str">
            <v>ELITE HEART</v>
          </cell>
          <cell r="D2126" t="str">
            <v>Excavator Operator</v>
          </cell>
        </row>
        <row r="2127">
          <cell r="A2127" t="str">
            <v>2487470102</v>
          </cell>
          <cell r="B2127" t="str">
            <v>Saghir Ahmad</v>
          </cell>
          <cell r="C2127" t="str">
            <v>OMAS</v>
          </cell>
          <cell r="D2127" t="str">
            <v>Generator Technician</v>
          </cell>
        </row>
        <row r="2128">
          <cell r="A2128" t="str">
            <v>2608658007</v>
          </cell>
          <cell r="B2128" t="str">
            <v>Sagir Molla</v>
          </cell>
          <cell r="C2128" t="str">
            <v>GLOBAL CASTLES</v>
          </cell>
          <cell r="D2128" t="str">
            <v>Carpenter</v>
          </cell>
        </row>
        <row r="2129">
          <cell r="A2129" t="str">
            <v>2608380552</v>
          </cell>
          <cell r="B2129" t="str">
            <v>Saha Alom</v>
          </cell>
          <cell r="C2129" t="str">
            <v>BUILDING ROOTS</v>
          </cell>
          <cell r="D2129" t="str">
            <v>Steel Fixer</v>
          </cell>
        </row>
        <row r="2130">
          <cell r="A2130" t="str">
            <v>2515526222</v>
          </cell>
          <cell r="B2130" t="str">
            <v>Sahab</v>
          </cell>
          <cell r="C2130" t="str">
            <v>BUILDING ROOTS</v>
          </cell>
          <cell r="D2130" t="str">
            <v>Carpenter</v>
          </cell>
        </row>
        <row r="2131">
          <cell r="A2131" t="str">
            <v>2416581607</v>
          </cell>
          <cell r="B2131" t="str">
            <v>Saheb Babu</v>
          </cell>
          <cell r="C2131" t="str">
            <v>AL MUMAYAZ</v>
          </cell>
          <cell r="D2131" t="str">
            <v>Lab Technician</v>
          </cell>
        </row>
        <row r="2132">
          <cell r="A2132" t="str">
            <v>2487608123</v>
          </cell>
          <cell r="B2132" t="str">
            <v>Saheed Ullah</v>
          </cell>
          <cell r="C2132" t="str">
            <v>GULF MARK</v>
          </cell>
          <cell r="D2132" t="str">
            <v>Labour</v>
          </cell>
        </row>
        <row r="2133">
          <cell r="A2133" t="str">
            <v>2450769787</v>
          </cell>
          <cell r="B2133" t="str">
            <v>Sahehab Marshad</v>
          </cell>
          <cell r="C2133" t="str">
            <v>BUILDING ROOTS</v>
          </cell>
          <cell r="D2133" t="str">
            <v>Carpenter</v>
          </cell>
        </row>
        <row r="2134">
          <cell r="A2134" t="str">
            <v>2265865416</v>
          </cell>
          <cell r="B2134" t="str">
            <v>Sahib zada</v>
          </cell>
          <cell r="C2134" t="str">
            <v>BUILDING ROOTS</v>
          </cell>
          <cell r="D2134" t="str">
            <v>Surveyor</v>
          </cell>
        </row>
        <row r="2135">
          <cell r="A2135" t="str">
            <v>2537957413</v>
          </cell>
          <cell r="B2135" t="str">
            <v>Sahid Abul</v>
          </cell>
          <cell r="C2135" t="str">
            <v>TAMIMI</v>
          </cell>
          <cell r="D2135" t="str">
            <v>Electrician</v>
          </cell>
        </row>
        <row r="2136">
          <cell r="A2136" t="str">
            <v>2384996605</v>
          </cell>
          <cell r="B2136" t="str">
            <v>Sahid Ali Shah</v>
          </cell>
          <cell r="C2136" t="str">
            <v>ULMA</v>
          </cell>
          <cell r="D2136" t="str">
            <v>Formwork Inspector</v>
          </cell>
        </row>
        <row r="2137">
          <cell r="A2137" t="str">
            <v>2537452266</v>
          </cell>
          <cell r="B2137" t="str">
            <v>Sai Amrit</v>
          </cell>
          <cell r="C2137" t="str">
            <v>BOUYGUES CONST.</v>
          </cell>
          <cell r="D2137" t="str">
            <v>Package Manager</v>
          </cell>
        </row>
        <row r="2138">
          <cell r="A2138" t="str">
            <v>2522646773</v>
          </cell>
          <cell r="B2138" t="str">
            <v>Said Ahmed</v>
          </cell>
          <cell r="C2138" t="str">
            <v>BUILDING ROOTS</v>
          </cell>
          <cell r="D2138" t="str">
            <v>Carpenter</v>
          </cell>
        </row>
        <row r="2139">
          <cell r="A2139" t="str">
            <v>2518836289</v>
          </cell>
          <cell r="B2139" t="str">
            <v>Said Hussain</v>
          </cell>
          <cell r="C2139" t="str">
            <v>ELITE HEART</v>
          </cell>
          <cell r="D2139" t="str">
            <v>Labour</v>
          </cell>
        </row>
        <row r="2140">
          <cell r="A2140" t="str">
            <v>2316852991</v>
          </cell>
          <cell r="B2140" t="str">
            <v>Said Khan</v>
          </cell>
          <cell r="C2140" t="str">
            <v>BUILDING ROOTS</v>
          </cell>
          <cell r="D2140" t="str">
            <v>Carpenter</v>
          </cell>
        </row>
        <row r="2141">
          <cell r="A2141" t="str">
            <v>1099111377</v>
          </cell>
          <cell r="B2141" t="str">
            <v>Saif Alnosass</v>
          </cell>
          <cell r="C2141" t="str">
            <v>BOUYGUES CONST.</v>
          </cell>
          <cell r="D2141" t="str">
            <v>Site Engineer</v>
          </cell>
        </row>
        <row r="2142">
          <cell r="A2142" t="str">
            <v>2534385475</v>
          </cell>
          <cell r="B2142" t="str">
            <v>Saif Ullah</v>
          </cell>
          <cell r="C2142" t="str">
            <v>BUILDING ROOTS</v>
          </cell>
          <cell r="D2142" t="str">
            <v>Labour</v>
          </cell>
        </row>
        <row r="2143">
          <cell r="A2143" t="str">
            <v>2537936896</v>
          </cell>
          <cell r="B2143" t="str">
            <v>Saif Ullah</v>
          </cell>
          <cell r="C2143" t="str">
            <v>NOUR AL HADAF</v>
          </cell>
          <cell r="D2143" t="str">
            <v>Carpenter</v>
          </cell>
        </row>
        <row r="2144">
          <cell r="A2144" t="str">
            <v>2559385774</v>
          </cell>
          <cell r="B2144" t="str">
            <v>Saif Ullah Khan</v>
          </cell>
          <cell r="C2144" t="str">
            <v>BUILDING ROOTS</v>
          </cell>
          <cell r="D2144" t="str">
            <v>Labour</v>
          </cell>
        </row>
        <row r="2145">
          <cell r="A2145" t="str">
            <v>2612191888</v>
          </cell>
          <cell r="B2145" t="str">
            <v>Saiful</v>
          </cell>
          <cell r="C2145" t="str">
            <v>GLOBAL CASTLES</v>
          </cell>
          <cell r="D2145" t="str">
            <v>Labour</v>
          </cell>
        </row>
        <row r="2146">
          <cell r="A2146" t="str">
            <v>2558236328</v>
          </cell>
          <cell r="B2146" t="str">
            <v>Saiful Islam</v>
          </cell>
          <cell r="C2146" t="str">
            <v>BUILDING ROOTS</v>
          </cell>
          <cell r="D2146" t="str">
            <v>Scaffolder</v>
          </cell>
        </row>
        <row r="2147">
          <cell r="A2147" t="str">
            <v>2576022301</v>
          </cell>
          <cell r="B2147" t="str">
            <v>Saila Kumar</v>
          </cell>
          <cell r="C2147" t="str">
            <v>ARABIAN TOWER</v>
          </cell>
          <cell r="D2147" t="str">
            <v>Electrician</v>
          </cell>
        </row>
        <row r="2148">
          <cell r="A2148" t="str">
            <v>2571939699</v>
          </cell>
          <cell r="B2148" t="str">
            <v>Sajad Khan</v>
          </cell>
          <cell r="C2148" t="str">
            <v>BUILDING ROOTS</v>
          </cell>
          <cell r="D2148" t="str">
            <v>Scaffolder</v>
          </cell>
        </row>
        <row r="2149">
          <cell r="A2149" t="str">
            <v>2593096742</v>
          </cell>
          <cell r="B2149" t="str">
            <v>Sajal Baisnab</v>
          </cell>
          <cell r="C2149" t="str">
            <v>BUILDING ROOTS</v>
          </cell>
          <cell r="D2149" t="str">
            <v>Scaffolder</v>
          </cell>
        </row>
        <row r="2150">
          <cell r="A2150" t="str">
            <v>2606280918</v>
          </cell>
          <cell r="B2150" t="str">
            <v>Sajamal Hussain</v>
          </cell>
          <cell r="C2150" t="str">
            <v>ELITE HEART</v>
          </cell>
          <cell r="D2150" t="str">
            <v>Mason</v>
          </cell>
        </row>
        <row r="2151">
          <cell r="A2151" t="str">
            <v>2573777592</v>
          </cell>
          <cell r="B2151" t="str">
            <v>Sajed Ullah</v>
          </cell>
          <cell r="C2151" t="str">
            <v>BUILDING ROOTS</v>
          </cell>
          <cell r="D2151" t="str">
            <v>Steel Fixer</v>
          </cell>
        </row>
        <row r="2152">
          <cell r="A2152" t="str">
            <v>2628665586</v>
          </cell>
          <cell r="B2152" t="str">
            <v>Sajeeb Howlader</v>
          </cell>
          <cell r="C2152" t="str">
            <v>GLOBAL CASTLES</v>
          </cell>
          <cell r="D2152" t="str">
            <v>Carpenter</v>
          </cell>
        </row>
        <row r="2153">
          <cell r="A2153" t="str">
            <v>2581673353</v>
          </cell>
          <cell r="B2153" t="str">
            <v>Sajeel Ahmad</v>
          </cell>
          <cell r="C2153" t="str">
            <v>BUILDING ROOTS</v>
          </cell>
          <cell r="D2153" t="str">
            <v>Carpenter</v>
          </cell>
        </row>
        <row r="2154">
          <cell r="A2154" t="str">
            <v>2529547883</v>
          </cell>
          <cell r="B2154" t="str">
            <v>Sajid</v>
          </cell>
          <cell r="C2154" t="str">
            <v>ALMABANI CONT.</v>
          </cell>
          <cell r="D2154" t="str">
            <v>Electrician</v>
          </cell>
        </row>
        <row r="2155">
          <cell r="A2155" t="str">
            <v>2622411573</v>
          </cell>
          <cell r="B2155" t="str">
            <v>Sajid Hayat</v>
          </cell>
          <cell r="C2155" t="str">
            <v>BUILDING ROOTS</v>
          </cell>
          <cell r="D2155" t="str">
            <v>Labour</v>
          </cell>
        </row>
        <row r="2156">
          <cell r="A2156" t="str">
            <v>2620494985</v>
          </cell>
          <cell r="B2156" t="str">
            <v>Sajid Hussain</v>
          </cell>
          <cell r="C2156" t="str">
            <v>BUILDING ROOTS</v>
          </cell>
          <cell r="D2156" t="str">
            <v>Steel Fixer</v>
          </cell>
        </row>
        <row r="2157">
          <cell r="A2157" t="str">
            <v>2614278030</v>
          </cell>
          <cell r="B2157" t="str">
            <v>Sajid Khan</v>
          </cell>
          <cell r="C2157" t="str">
            <v>ELITE HEART</v>
          </cell>
          <cell r="D2157" t="str">
            <v>Safety Helper</v>
          </cell>
        </row>
        <row r="2158">
          <cell r="A2158" t="str">
            <v>6160885734</v>
          </cell>
          <cell r="B2158" t="str">
            <v>Sajid Khan</v>
          </cell>
          <cell r="C2158" t="str">
            <v>ELITE HEART</v>
          </cell>
          <cell r="D2158" t="str">
            <v>Steel Fixer</v>
          </cell>
        </row>
        <row r="2159">
          <cell r="A2159" t="str">
            <v>2612868600</v>
          </cell>
          <cell r="B2159" t="str">
            <v>Sajid Muhammad</v>
          </cell>
          <cell r="C2159" t="str">
            <v>BUILDING ROOTS</v>
          </cell>
          <cell r="D2159" t="str">
            <v>Labour</v>
          </cell>
        </row>
        <row r="2160">
          <cell r="A2160" t="str">
            <v>2480509674</v>
          </cell>
          <cell r="B2160" t="str">
            <v>Sajid Ullah</v>
          </cell>
          <cell r="C2160" t="str">
            <v>NFT</v>
          </cell>
          <cell r="D2160" t="str">
            <v>Tower Crane Operator</v>
          </cell>
        </row>
        <row r="2161">
          <cell r="A2161" t="str">
            <v>2613916515</v>
          </cell>
          <cell r="B2161" t="str">
            <v>Sajid Ullah</v>
          </cell>
          <cell r="C2161" t="str">
            <v>ARABIAN TOWER</v>
          </cell>
          <cell r="D2161" t="str">
            <v>Tower Crane Operator</v>
          </cell>
        </row>
        <row r="2162">
          <cell r="A2162" t="str">
            <v>2317104483</v>
          </cell>
          <cell r="B2162" t="str">
            <v>Sajjad</v>
          </cell>
          <cell r="C2162" t="str">
            <v>BUILDING ROOTS</v>
          </cell>
          <cell r="D2162" t="str">
            <v>Steel Fixer</v>
          </cell>
        </row>
        <row r="2163">
          <cell r="A2163" t="str">
            <v>2384667198</v>
          </cell>
          <cell r="B2163" t="str">
            <v>Sajjad</v>
          </cell>
          <cell r="C2163" t="str">
            <v>BUILDING ROOTS</v>
          </cell>
          <cell r="D2163" t="str">
            <v>Steel Fixer</v>
          </cell>
        </row>
        <row r="2164">
          <cell r="A2164" t="str">
            <v>2622058028</v>
          </cell>
          <cell r="B2164" t="str">
            <v>Sajjad</v>
          </cell>
          <cell r="C2164" t="str">
            <v>BUILDING ROOTS</v>
          </cell>
          <cell r="D2164" t="str">
            <v>Labour</v>
          </cell>
        </row>
        <row r="2165">
          <cell r="A2165" t="str">
            <v>2610954212</v>
          </cell>
          <cell r="B2165" t="str">
            <v>Sajjad</v>
          </cell>
          <cell r="C2165" t="str">
            <v>GLOBAL CASTLES</v>
          </cell>
          <cell r="D2165" t="str">
            <v>Steel Fixer</v>
          </cell>
        </row>
        <row r="2166">
          <cell r="A2166" t="str">
            <v>2590353351</v>
          </cell>
          <cell r="B2166" t="str">
            <v>Sajjad</v>
          </cell>
          <cell r="C2166" t="str">
            <v>BUILDING ROOTS</v>
          </cell>
          <cell r="D2166" t="str">
            <v>Steel Fixer</v>
          </cell>
        </row>
        <row r="2167">
          <cell r="A2167" t="str">
            <v>2619150150</v>
          </cell>
          <cell r="B2167" t="str">
            <v>Sajjad Hussain</v>
          </cell>
          <cell r="C2167" t="str">
            <v>BUILDING ROOTS</v>
          </cell>
          <cell r="D2167" t="str">
            <v>Scaffolder</v>
          </cell>
        </row>
        <row r="2168">
          <cell r="A2168" t="str">
            <v>2597149026</v>
          </cell>
          <cell r="B2168" t="str">
            <v>Sajjad Khan</v>
          </cell>
          <cell r="C2168" t="str">
            <v>ELITE HEART</v>
          </cell>
          <cell r="D2168" t="str">
            <v>Mason</v>
          </cell>
        </row>
        <row r="2169">
          <cell r="A2169" t="str">
            <v>2607531577</v>
          </cell>
          <cell r="B2169" t="str">
            <v>Sajjad Khan</v>
          </cell>
          <cell r="C2169" t="str">
            <v>BUILDING ROOTS</v>
          </cell>
          <cell r="D2169" t="str">
            <v>Steel Fixer</v>
          </cell>
        </row>
        <row r="2170">
          <cell r="A2170" t="str">
            <v>2627482439</v>
          </cell>
          <cell r="B2170" t="str">
            <v>Sajjad Khan</v>
          </cell>
          <cell r="C2170" t="str">
            <v>GLOBAL CASTLES</v>
          </cell>
          <cell r="D2170" t="str">
            <v>Rigger</v>
          </cell>
        </row>
        <row r="2171">
          <cell r="A2171" t="str">
            <v>2523553994</v>
          </cell>
          <cell r="B2171" t="str">
            <v>Sajjad ullah khan</v>
          </cell>
          <cell r="C2171" t="str">
            <v>ELITE HEART</v>
          </cell>
          <cell r="D2171" t="str">
            <v>Scaffolder</v>
          </cell>
        </row>
        <row r="2172">
          <cell r="A2172" t="str">
            <v>2582526857</v>
          </cell>
          <cell r="B2172" t="str">
            <v>Sajjad ullah khan</v>
          </cell>
          <cell r="C2172" t="str">
            <v>GLOBAL CASTLE</v>
          </cell>
          <cell r="D2172" t="str">
            <v>Steel Fixer</v>
          </cell>
        </row>
        <row r="2173">
          <cell r="A2173" t="str">
            <v>2610797876</v>
          </cell>
          <cell r="B2173" t="str">
            <v>Sajjatul Islam</v>
          </cell>
          <cell r="C2173" t="str">
            <v>GLOBAL CASTLES</v>
          </cell>
          <cell r="D2173" t="str">
            <v>Steel Fixer</v>
          </cell>
        </row>
        <row r="2174">
          <cell r="A2174" t="str">
            <v>2565123680</v>
          </cell>
          <cell r="B2174" t="str">
            <v>Saju Ahmed</v>
          </cell>
          <cell r="C2174" t="str">
            <v>ELITE HEART</v>
          </cell>
          <cell r="D2174" t="str">
            <v>Mason</v>
          </cell>
        </row>
        <row r="2175">
          <cell r="A2175" t="str">
            <v>2512308442</v>
          </cell>
          <cell r="B2175" t="str">
            <v>Sakhi Jan</v>
          </cell>
          <cell r="C2175" t="str">
            <v>SAUDI BAUER</v>
          </cell>
          <cell r="D2175" t="str">
            <v>Steel Fixer</v>
          </cell>
        </row>
        <row r="2176">
          <cell r="A2176" t="str">
            <v>2576768911</v>
          </cell>
          <cell r="B2176" t="str">
            <v>Sakib Hosen</v>
          </cell>
          <cell r="C2176" t="str">
            <v>BUILDING ROOTS</v>
          </cell>
          <cell r="D2176" t="str">
            <v>Roller Compactor Operator</v>
          </cell>
        </row>
        <row r="2177">
          <cell r="A2177" t="str">
            <v>2613558838</v>
          </cell>
          <cell r="B2177" t="str">
            <v>Sala</v>
          </cell>
          <cell r="C2177" t="str">
            <v>GLOBAL CASTLES</v>
          </cell>
          <cell r="D2177" t="str">
            <v>Labour</v>
          </cell>
        </row>
        <row r="2178">
          <cell r="A2178" t="str">
            <v>2454211427</v>
          </cell>
          <cell r="B2178" t="str">
            <v>Salah saeed</v>
          </cell>
          <cell r="C2178" t="str">
            <v>BUILDING ROOTS</v>
          </cell>
          <cell r="D2178" t="str">
            <v>Carpenter</v>
          </cell>
        </row>
        <row r="2179">
          <cell r="A2179" t="str">
            <v>2507630370</v>
          </cell>
          <cell r="B2179" t="str">
            <v>Salah uddin</v>
          </cell>
          <cell r="C2179" t="str">
            <v>BUILDING ROOTS</v>
          </cell>
          <cell r="D2179" t="str">
            <v>Carpenter</v>
          </cell>
        </row>
        <row r="2180">
          <cell r="A2180" t="str">
            <v>2568455055</v>
          </cell>
          <cell r="B2180" t="str">
            <v>Salahuddin</v>
          </cell>
          <cell r="C2180" t="str">
            <v>BUILDING ROOTS</v>
          </cell>
          <cell r="D2180" t="str">
            <v>Carpenter</v>
          </cell>
        </row>
        <row r="2181">
          <cell r="A2181" t="str">
            <v>2235132434</v>
          </cell>
          <cell r="B2181" t="str">
            <v>Salam</v>
          </cell>
          <cell r="C2181" t="str">
            <v>JV (BBI-AGC)</v>
          </cell>
          <cell r="D2181" t="str">
            <v>Rigger</v>
          </cell>
        </row>
        <row r="2182">
          <cell r="A2182" t="str">
            <v>2541042889</v>
          </cell>
          <cell r="B2182" t="str">
            <v>Salam sk</v>
          </cell>
          <cell r="C2182" t="str">
            <v>Cretec</v>
          </cell>
          <cell r="D2182" t="str">
            <v>labor</v>
          </cell>
        </row>
        <row r="2183">
          <cell r="A2183" t="str">
            <v>2376671166</v>
          </cell>
          <cell r="B2183" t="str">
            <v>Salamat Hussain</v>
          </cell>
          <cell r="C2183" t="str">
            <v>ALMABANI CONT.</v>
          </cell>
          <cell r="D2183" t="str">
            <v>Cleaner</v>
          </cell>
        </row>
        <row r="2184">
          <cell r="A2184" t="str">
            <v>2605561171</v>
          </cell>
          <cell r="B2184" t="str">
            <v>Saleem</v>
          </cell>
          <cell r="C2184" t="str">
            <v>ELITE HEART</v>
          </cell>
          <cell r="D2184" t="str">
            <v>Steel Fixer</v>
          </cell>
        </row>
        <row r="2185">
          <cell r="A2185" t="str">
            <v>2622580385</v>
          </cell>
          <cell r="B2185" t="str">
            <v>Saleem</v>
          </cell>
          <cell r="C2185" t="str">
            <v>BUILDING ROOTS</v>
          </cell>
          <cell r="D2185" t="str">
            <v>Carpenter</v>
          </cell>
        </row>
        <row r="2186">
          <cell r="A2186" t="str">
            <v>2486684703</v>
          </cell>
          <cell r="B2186" t="str">
            <v>Saleem Akhtar</v>
          </cell>
          <cell r="C2186" t="str">
            <v>ALMABANI CONT.</v>
          </cell>
          <cell r="D2186" t="str">
            <v>Electrician</v>
          </cell>
        </row>
        <row r="2187">
          <cell r="A2187" t="str">
            <v>2587505377</v>
          </cell>
          <cell r="B2187" t="str">
            <v>Saleem Ullah</v>
          </cell>
          <cell r="C2187" t="str">
            <v>BUILDING ROOTS</v>
          </cell>
          <cell r="D2187" t="str">
            <v>Carpenter</v>
          </cell>
        </row>
        <row r="2188">
          <cell r="A2188" t="str">
            <v>2549379838</v>
          </cell>
          <cell r="B2188" t="str">
            <v>Saleh</v>
          </cell>
          <cell r="C2188" t="str">
            <v>BUILDING ROOTS</v>
          </cell>
          <cell r="D2188" t="str">
            <v>Carpenter</v>
          </cell>
        </row>
        <row r="2189">
          <cell r="A2189" t="str">
            <v>2521055042</v>
          </cell>
          <cell r="B2189" t="str">
            <v>Saleh</v>
          </cell>
          <cell r="C2189" t="str">
            <v>BUILDING ROOTS</v>
          </cell>
          <cell r="D2189" t="str">
            <v>Scaffolder</v>
          </cell>
        </row>
        <row r="2190">
          <cell r="A2190" t="str">
            <v>2522099889</v>
          </cell>
          <cell r="B2190" t="str">
            <v>Saleh</v>
          </cell>
          <cell r="C2190" t="str">
            <v>BUILDING ROOTS</v>
          </cell>
          <cell r="D2190" t="str">
            <v>Carpenter</v>
          </cell>
        </row>
        <row r="2191">
          <cell r="A2191" t="str">
            <v>2276090947</v>
          </cell>
          <cell r="B2191" t="str">
            <v>Saleh Aidaros Hussein</v>
          </cell>
          <cell r="C2191" t="str">
            <v>AL AZANI</v>
          </cell>
          <cell r="D2191" t="str">
            <v>Boom Truck Operator</v>
          </cell>
        </row>
        <row r="2192">
          <cell r="A2192" t="str">
            <v>2503846624</v>
          </cell>
          <cell r="B2192" t="str">
            <v>Saleh Ali</v>
          </cell>
          <cell r="C2192" t="str">
            <v>AL FAL HOUSE</v>
          </cell>
          <cell r="D2192" t="str">
            <v>Labour</v>
          </cell>
        </row>
        <row r="2193">
          <cell r="A2193" t="str">
            <v>2524401706</v>
          </cell>
          <cell r="B2193" t="str">
            <v>Saleh Omar Masbahi</v>
          </cell>
          <cell r="C2193" t="str">
            <v>AL AZANI</v>
          </cell>
          <cell r="D2193" t="str">
            <v>Crane Operator</v>
          </cell>
        </row>
        <row r="2194">
          <cell r="A2194" t="str">
            <v>2592508317</v>
          </cell>
          <cell r="B2194" t="str">
            <v>Salek Hossein</v>
          </cell>
          <cell r="C2194" t="str">
            <v>-</v>
          </cell>
          <cell r="D2194" t="str">
            <v>Rigger</v>
          </cell>
        </row>
        <row r="2195">
          <cell r="A2195" t="str">
            <v>2537168706</v>
          </cell>
          <cell r="B2195" t="str">
            <v>Salem</v>
          </cell>
          <cell r="C2195" t="str">
            <v>GLOBAL CASTLE</v>
          </cell>
          <cell r="D2195" t="str">
            <v>boom truck operator</v>
          </cell>
        </row>
        <row r="2196">
          <cell r="A2196" t="str">
            <v>2593367010</v>
          </cell>
          <cell r="B2196" t="str">
            <v>Salem Mohmed</v>
          </cell>
          <cell r="C2196" t="str">
            <v>BUILDING ROOTS</v>
          </cell>
          <cell r="D2196" t="str">
            <v>Skid Loeder</v>
          </cell>
        </row>
        <row r="2197">
          <cell r="A2197" t="str">
            <v>2540628977</v>
          </cell>
          <cell r="B2197" t="str">
            <v>Salih Duran</v>
          </cell>
          <cell r="C2197" t="str">
            <v>ELITE HEART</v>
          </cell>
          <cell r="D2197" t="str">
            <v>Engineer</v>
          </cell>
        </row>
        <row r="2198">
          <cell r="A2198" t="str">
            <v>2247822857</v>
          </cell>
          <cell r="B2198" t="str">
            <v>Salih al makah</v>
          </cell>
          <cell r="C2198" t="str">
            <v>GULF MARK</v>
          </cell>
          <cell r="D2198" t="str">
            <v>Operator</v>
          </cell>
        </row>
        <row r="2199">
          <cell r="A2199" t="str">
            <v>2532638802</v>
          </cell>
          <cell r="B2199" t="str">
            <v>Saliman Khan</v>
          </cell>
          <cell r="C2199" t="str">
            <v>BUILDING ROOTS</v>
          </cell>
          <cell r="D2199" t="str">
            <v>Scaffolder</v>
          </cell>
        </row>
        <row r="2200">
          <cell r="A2200" t="str">
            <v>2595176898</v>
          </cell>
          <cell r="B2200" t="str">
            <v>Saliman Shah</v>
          </cell>
          <cell r="C2200" t="str">
            <v>ARABIAN TOWER</v>
          </cell>
          <cell r="D2200" t="str">
            <v>Tower Crane Operator</v>
          </cell>
        </row>
        <row r="2201">
          <cell r="A2201" t="str">
            <v>2621110242</v>
          </cell>
          <cell r="B2201" t="str">
            <v>Salman</v>
          </cell>
          <cell r="C2201" t="str">
            <v>ELITE HEART</v>
          </cell>
          <cell r="D2201" t="str">
            <v>Technician</v>
          </cell>
        </row>
        <row r="2202">
          <cell r="A2202" t="str">
            <v>1118120904</v>
          </cell>
          <cell r="B2202" t="str">
            <v>Salman</v>
          </cell>
          <cell r="C2202" t="str">
            <v>QIDDIYA</v>
          </cell>
          <cell r="D2202" t="str">
            <v>Design Department</v>
          </cell>
        </row>
        <row r="2203">
          <cell r="A2203" t="str">
            <v>2623202765</v>
          </cell>
          <cell r="B2203" t="str">
            <v>Salman Ali</v>
          </cell>
          <cell r="C2203" t="str">
            <v>SAUDI BAUER</v>
          </cell>
          <cell r="D2203" t="str">
            <v>Helper</v>
          </cell>
        </row>
        <row r="2204">
          <cell r="A2204" t="str">
            <v>2600656819</v>
          </cell>
          <cell r="B2204" t="str">
            <v>Salman Ishiq</v>
          </cell>
          <cell r="C2204" t="str">
            <v>ELITE HEART</v>
          </cell>
          <cell r="D2204" t="str">
            <v>Surveyor</v>
          </cell>
        </row>
        <row r="2205">
          <cell r="A2205" t="str">
            <v>2540916139</v>
          </cell>
          <cell r="B2205" t="str">
            <v>Salman Khan</v>
          </cell>
          <cell r="C2205" t="str">
            <v>ELITE HEART</v>
          </cell>
          <cell r="D2205" t="str">
            <v>Safety Officer</v>
          </cell>
        </row>
        <row r="2206">
          <cell r="A2206" t="str">
            <v>2611352606</v>
          </cell>
          <cell r="B2206" t="str">
            <v>Salman Khan</v>
          </cell>
          <cell r="C2206" t="str">
            <v>ELITE HEART</v>
          </cell>
          <cell r="D2206" t="str">
            <v>Helper</v>
          </cell>
        </row>
        <row r="2207">
          <cell r="A2207" t="str">
            <v>2606033617</v>
          </cell>
          <cell r="B2207" t="str">
            <v>Salman Khan</v>
          </cell>
          <cell r="C2207" t="str">
            <v>ELITE HEART</v>
          </cell>
          <cell r="D2207" t="str">
            <v>Driver</v>
          </cell>
        </row>
        <row r="2208">
          <cell r="A2208" t="str">
            <v>2575579210</v>
          </cell>
          <cell r="B2208" t="str">
            <v>Salman M Ansar</v>
          </cell>
          <cell r="C2208" t="str">
            <v>TAMIMI</v>
          </cell>
          <cell r="D2208" t="str">
            <v>Carpenter</v>
          </cell>
        </row>
        <row r="2209">
          <cell r="A2209" t="str">
            <v>2474631807</v>
          </cell>
          <cell r="B2209" t="str">
            <v>Salman Saleem</v>
          </cell>
          <cell r="C2209" t="str">
            <v>GLOBAL CASTLES</v>
          </cell>
          <cell r="D2209" t="str">
            <v>Lifting Supervisor</v>
          </cell>
        </row>
        <row r="2210">
          <cell r="A2210" t="str">
            <v>2585345982</v>
          </cell>
          <cell r="B2210" t="str">
            <v>Sameer Ali</v>
          </cell>
          <cell r="C2210" t="str">
            <v>GLOBAL CASTLES</v>
          </cell>
          <cell r="D2210" t="str">
            <v>Leadman</v>
          </cell>
        </row>
        <row r="2211">
          <cell r="A2211" t="str">
            <v>2344609536</v>
          </cell>
          <cell r="B2211" t="str">
            <v>Sami</v>
          </cell>
          <cell r="C2211" t="str">
            <v>GULF MARK</v>
          </cell>
          <cell r="D2211" t="str">
            <v>Surveyor</v>
          </cell>
        </row>
        <row r="2212">
          <cell r="A2212" t="str">
            <v>2610417020</v>
          </cell>
          <cell r="B2212" t="str">
            <v>Sami</v>
          </cell>
          <cell r="C2212" t="str">
            <v>GULF MARK</v>
          </cell>
          <cell r="D2212" t="str">
            <v>labor</v>
          </cell>
        </row>
        <row r="2213">
          <cell r="A2213" t="str">
            <v>260558050</v>
          </cell>
          <cell r="B2213" t="str">
            <v>Sami Abdullah</v>
          </cell>
          <cell r="C2213" t="str">
            <v>BUILDING ROOTS</v>
          </cell>
          <cell r="D2213" t="str">
            <v>Carpenter</v>
          </cell>
        </row>
        <row r="2214">
          <cell r="A2214" t="str">
            <v>2520456035</v>
          </cell>
          <cell r="B2214" t="str">
            <v>Sami Ahmed</v>
          </cell>
          <cell r="C2214" t="str">
            <v>GULF MARK</v>
          </cell>
          <cell r="D2214" t="str">
            <v>-</v>
          </cell>
        </row>
        <row r="2215">
          <cell r="A2215" t="str">
            <v>2532994718</v>
          </cell>
          <cell r="B2215" t="str">
            <v>Sami Akhtar</v>
          </cell>
          <cell r="C2215" t="str">
            <v>BUILDING ROOTS</v>
          </cell>
          <cell r="D2215" t="str">
            <v>Labour</v>
          </cell>
        </row>
        <row r="2216">
          <cell r="A2216" t="str">
            <v>2432125462</v>
          </cell>
          <cell r="B2216" t="str">
            <v>Sami Ullah</v>
          </cell>
          <cell r="C2216" t="str">
            <v>ELITE HEART</v>
          </cell>
          <cell r="D2216" t="str">
            <v>Scaffolder</v>
          </cell>
        </row>
        <row r="2217">
          <cell r="A2217" t="str">
            <v>2545445971</v>
          </cell>
          <cell r="B2217" t="str">
            <v>Sami Ullah</v>
          </cell>
          <cell r="C2217" t="str">
            <v>BUILDING ROOTS</v>
          </cell>
          <cell r="D2217" t="str">
            <v>Deputy Hse Manager</v>
          </cell>
        </row>
        <row r="2218">
          <cell r="A2218" t="str">
            <v>2584346452</v>
          </cell>
          <cell r="B2218" t="str">
            <v>Sami Ullah</v>
          </cell>
          <cell r="C2218" t="str">
            <v>BUILDING ROOTS</v>
          </cell>
          <cell r="D2218" t="str">
            <v>Steel Fixer</v>
          </cell>
        </row>
        <row r="2219">
          <cell r="A2219" t="str">
            <v>2578251890</v>
          </cell>
          <cell r="B2219" t="str">
            <v>Sami Ullah</v>
          </cell>
          <cell r="C2219" t="str">
            <v>BUILDING ROOTS</v>
          </cell>
          <cell r="D2219" t="str">
            <v>Labour</v>
          </cell>
        </row>
        <row r="2220">
          <cell r="A2220" t="str">
            <v>2627494095</v>
          </cell>
          <cell r="B2220" t="str">
            <v>Sami Ullah</v>
          </cell>
          <cell r="C2220" t="str">
            <v>ELITE HEART</v>
          </cell>
          <cell r="D2220" t="str">
            <v>Steel Fixer</v>
          </cell>
        </row>
        <row r="2221">
          <cell r="A2221" t="str">
            <v>2627510221</v>
          </cell>
          <cell r="B2221" t="str">
            <v>Sami Ullah</v>
          </cell>
          <cell r="C2221" t="str">
            <v>BUILDING ROOTS</v>
          </cell>
          <cell r="D2221" t="str">
            <v>Carpenter</v>
          </cell>
        </row>
        <row r="2222">
          <cell r="A2222" t="str">
            <v>2612007126</v>
          </cell>
          <cell r="B2222" t="str">
            <v>Sami Ullah</v>
          </cell>
          <cell r="C2222" t="str">
            <v>BUILDING ROOTS</v>
          </cell>
          <cell r="D2222" t="str">
            <v>Carpenter</v>
          </cell>
        </row>
        <row r="2223">
          <cell r="A2223" t="str">
            <v>260448287</v>
          </cell>
          <cell r="B2223" t="str">
            <v>Sami Ur Rehman</v>
          </cell>
          <cell r="C2223" t="str">
            <v>BUILDING ROOTS</v>
          </cell>
          <cell r="D2223" t="str">
            <v>Labour</v>
          </cell>
        </row>
        <row r="2224">
          <cell r="A2224" t="str">
            <v>2610417026</v>
          </cell>
          <cell r="B2224" t="str">
            <v>Samiul</v>
          </cell>
          <cell r="C2224" t="str">
            <v>GLOBAL CASTLE</v>
          </cell>
          <cell r="D2224" t="str">
            <v>Steel Fixer</v>
          </cell>
        </row>
        <row r="2225">
          <cell r="A2225" t="str">
            <v>2576056242</v>
          </cell>
          <cell r="B2225" t="str">
            <v>Samiulhaq</v>
          </cell>
          <cell r="C2225" t="str">
            <v>GULF MARK</v>
          </cell>
          <cell r="D2225" t="str">
            <v>Labour</v>
          </cell>
        </row>
        <row r="2226">
          <cell r="A2226" t="str">
            <v>2601147287</v>
          </cell>
          <cell r="B2226" t="str">
            <v>Samiur Rehman</v>
          </cell>
          <cell r="C2226" t="str">
            <v>BUILDING ROOTS</v>
          </cell>
          <cell r="D2226" t="str">
            <v>Labour</v>
          </cell>
        </row>
        <row r="2227">
          <cell r="A2227" t="str">
            <v>2541302762</v>
          </cell>
          <cell r="B2227" t="str">
            <v>Samy elhusseiny</v>
          </cell>
          <cell r="C2227" t="str">
            <v>BUILDING ROOTS</v>
          </cell>
          <cell r="D2227" t="str">
            <v>engineer</v>
          </cell>
        </row>
        <row r="2228">
          <cell r="A2228" t="str">
            <v>2621088612</v>
          </cell>
          <cell r="B2228" t="str">
            <v>Sana Ullah</v>
          </cell>
          <cell r="C2228" t="str">
            <v>BUILDING ROOTS</v>
          </cell>
          <cell r="D2228" t="str">
            <v>Carpenter</v>
          </cell>
        </row>
        <row r="2229">
          <cell r="A2229" t="str">
            <v>2564045322</v>
          </cell>
          <cell r="B2229" t="str">
            <v>Sana ullah</v>
          </cell>
          <cell r="C2229" t="str">
            <v>BUILDING ROOTS</v>
          </cell>
          <cell r="D2229" t="str">
            <v>foreman</v>
          </cell>
        </row>
        <row r="2230">
          <cell r="A2230" t="str">
            <v>2626073767</v>
          </cell>
          <cell r="B2230" t="str">
            <v>Sankar Manna</v>
          </cell>
          <cell r="C2230" t="str">
            <v>ELITE HEART</v>
          </cell>
          <cell r="D2230" t="str">
            <v>Carpenter</v>
          </cell>
        </row>
        <row r="2231">
          <cell r="A2231" t="str">
            <v>2473313704</v>
          </cell>
          <cell r="B2231" t="str">
            <v>Santosh Kumar</v>
          </cell>
          <cell r="C2231" t="str">
            <v>TAMIMI</v>
          </cell>
          <cell r="D2231" t="str">
            <v>Carpenter</v>
          </cell>
        </row>
        <row r="2232">
          <cell r="A2232" t="str">
            <v>2571724067</v>
          </cell>
          <cell r="B2232" t="str">
            <v>Sanullah</v>
          </cell>
          <cell r="C2232" t="str">
            <v>ELITE HEART</v>
          </cell>
          <cell r="D2232" t="str">
            <v>Steel Fixer</v>
          </cell>
        </row>
        <row r="2233">
          <cell r="A2233" t="str">
            <v>2615377708</v>
          </cell>
          <cell r="B2233" t="str">
            <v>Saqib</v>
          </cell>
          <cell r="C2233" t="str">
            <v>JV (BBI-AGC)</v>
          </cell>
          <cell r="D2233" t="str">
            <v>Rigger</v>
          </cell>
        </row>
        <row r="2234">
          <cell r="A2234" t="str">
            <v>2518097353</v>
          </cell>
          <cell r="B2234" t="str">
            <v>Saqib Ali</v>
          </cell>
          <cell r="C2234" t="str">
            <v>BUILDING ROOTS</v>
          </cell>
          <cell r="D2234" t="str">
            <v>Scaffolder</v>
          </cell>
        </row>
        <row r="2235">
          <cell r="A2235" t="str">
            <v>2543243469</v>
          </cell>
          <cell r="B2235" t="str">
            <v>Saqib Gafoor</v>
          </cell>
          <cell r="C2235" t="str">
            <v>TAMIMI</v>
          </cell>
          <cell r="D2235" t="str">
            <v>Helper</v>
          </cell>
        </row>
        <row r="2236">
          <cell r="A2236" t="str">
            <v>2614588164</v>
          </cell>
          <cell r="B2236" t="str">
            <v>Saqib Khan</v>
          </cell>
          <cell r="C2236" t="str">
            <v>BUILDING ROOTS</v>
          </cell>
          <cell r="D2236" t="str">
            <v>Labour</v>
          </cell>
        </row>
        <row r="2237">
          <cell r="A2237" t="str">
            <v>2579841483</v>
          </cell>
          <cell r="B2237" t="str">
            <v>Saqib Khan</v>
          </cell>
          <cell r="C2237" t="str">
            <v>BUILDING ROOTS</v>
          </cell>
          <cell r="D2237" t="str">
            <v>Labour</v>
          </cell>
        </row>
        <row r="2238">
          <cell r="A2238" t="str">
            <v>2617209826</v>
          </cell>
          <cell r="B2238" t="str">
            <v>Saqib Khan</v>
          </cell>
          <cell r="C2238" t="str">
            <v>ELITE HEART</v>
          </cell>
          <cell r="D2238" t="str">
            <v>Steel Fixer</v>
          </cell>
        </row>
        <row r="2239">
          <cell r="A2239" t="str">
            <v>2539235289</v>
          </cell>
          <cell r="B2239" t="str">
            <v>Saqib Rehman</v>
          </cell>
          <cell r="C2239" t="str">
            <v>BUILDING ROOTS</v>
          </cell>
          <cell r="D2239" t="str">
            <v>Steel Fixer</v>
          </cell>
        </row>
        <row r="2240">
          <cell r="A2240" t="str">
            <v>2519080762</v>
          </cell>
          <cell r="B2240" t="str">
            <v>Saran Zeb</v>
          </cell>
          <cell r="C2240" t="str">
            <v>ELITE HEART</v>
          </cell>
          <cell r="D2240" t="str">
            <v>Mason</v>
          </cell>
        </row>
        <row r="2241">
          <cell r="A2241" t="str">
            <v>2595748092</v>
          </cell>
          <cell r="B2241" t="str">
            <v>Sardar Abdul Jabbar</v>
          </cell>
          <cell r="C2241" t="str">
            <v>GULF UNITED</v>
          </cell>
          <cell r="D2241" t="str">
            <v>Hse Officer</v>
          </cell>
        </row>
        <row r="2242">
          <cell r="A2242" t="str">
            <v>2513175790</v>
          </cell>
          <cell r="B2242" t="str">
            <v>Sardar Ahmad</v>
          </cell>
          <cell r="C2242" t="str">
            <v>NFT</v>
          </cell>
          <cell r="D2242" t="str">
            <v>Tower Crane Operator</v>
          </cell>
        </row>
        <row r="2243">
          <cell r="A2243" t="str">
            <v>2615761836</v>
          </cell>
          <cell r="B2243" t="str">
            <v>Sardar Hussain</v>
          </cell>
          <cell r="C2243" t="str">
            <v>BUILDING ROOTS</v>
          </cell>
          <cell r="D2243" t="str">
            <v>Carpenter</v>
          </cell>
        </row>
        <row r="2244">
          <cell r="A2244" t="str">
            <v>2577711357</v>
          </cell>
          <cell r="B2244" t="str">
            <v>Sardar Khan</v>
          </cell>
          <cell r="C2244" t="str">
            <v>BUILDING ROOTS</v>
          </cell>
          <cell r="D2244" t="str">
            <v>Labour</v>
          </cell>
        </row>
        <row r="2245">
          <cell r="A2245" t="str">
            <v>2622424709</v>
          </cell>
          <cell r="B2245" t="str">
            <v>Sarfaraz Sarwar</v>
          </cell>
          <cell r="C2245" t="str">
            <v>ELITE HEART</v>
          </cell>
          <cell r="D2245" t="str">
            <v>Steel Fixer</v>
          </cell>
        </row>
        <row r="2246">
          <cell r="A2246" t="str">
            <v>2385178926</v>
          </cell>
          <cell r="B2246" t="str">
            <v>Sarmi</v>
          </cell>
          <cell r="C2246" t="str">
            <v>Binyat  atatwir</v>
          </cell>
          <cell r="D2246" t="str">
            <v>Project manager</v>
          </cell>
        </row>
        <row r="2247">
          <cell r="A2247" t="str">
            <v>2531643662</v>
          </cell>
          <cell r="B2247" t="str">
            <v>Sarphu</v>
          </cell>
          <cell r="C2247" t="str">
            <v>ALMABANI CONT.</v>
          </cell>
          <cell r="D2247" t="str">
            <v>Painter</v>
          </cell>
        </row>
        <row r="2248">
          <cell r="A2248" t="str">
            <v>2575751959</v>
          </cell>
          <cell r="B2248" t="str">
            <v>Sartaj Ahmed</v>
          </cell>
          <cell r="C2248" t="str">
            <v>BUILDING ROOTS</v>
          </cell>
          <cell r="D2248" t="str">
            <v>Carpenter</v>
          </cell>
        </row>
        <row r="2249">
          <cell r="A2249" t="str">
            <v>2540874881</v>
          </cell>
          <cell r="B2249" t="str">
            <v>Sarwar</v>
          </cell>
          <cell r="C2249" t="str">
            <v>BUILDING ROOTS</v>
          </cell>
          <cell r="D2249" t="str">
            <v>Labour</v>
          </cell>
        </row>
        <row r="2250">
          <cell r="A2250" t="str">
            <v>2620122735</v>
          </cell>
          <cell r="B2250" t="str">
            <v>Sarwar</v>
          </cell>
          <cell r="C2250" t="str">
            <v>BUILDING ROOTS</v>
          </cell>
          <cell r="D2250" t="str">
            <v>Scaffolder</v>
          </cell>
        </row>
        <row r="2251">
          <cell r="A2251" t="str">
            <v>2540874381</v>
          </cell>
          <cell r="B2251" t="str">
            <v>Sarwar</v>
          </cell>
          <cell r="C2251" t="str">
            <v>GLOBAL CASTLES</v>
          </cell>
          <cell r="D2251" t="str">
            <v>Steel Fixer</v>
          </cell>
        </row>
        <row r="2252">
          <cell r="A2252" t="str">
            <v>2532121239</v>
          </cell>
          <cell r="B2252" t="str">
            <v>Satendra Kumar</v>
          </cell>
          <cell r="C2252" t="str">
            <v>ALMABANI CONT.</v>
          </cell>
          <cell r="D2252" t="str">
            <v>Electrician</v>
          </cell>
        </row>
        <row r="2253">
          <cell r="A2253" t="str">
            <v>2579520202</v>
          </cell>
          <cell r="B2253" t="str">
            <v>Sathish Selvaraj</v>
          </cell>
          <cell r="C2253" t="str">
            <v>RED CAMEL</v>
          </cell>
          <cell r="D2253" t="str">
            <v>Forklift Operator</v>
          </cell>
        </row>
        <row r="2254">
          <cell r="A2254" t="str">
            <v>2636743441</v>
          </cell>
          <cell r="B2254" t="str">
            <v>Satish shah</v>
          </cell>
          <cell r="C2254" t="str">
            <v>BOUYGUES CONS.</v>
          </cell>
          <cell r="D2254" t="str">
            <v>QS</v>
          </cell>
        </row>
        <row r="2255">
          <cell r="A2255" t="str">
            <v>1103224364</v>
          </cell>
          <cell r="B2255" t="str">
            <v>Saud Alsakhabra</v>
          </cell>
          <cell r="C2255" t="str">
            <v>JV (BBI-AGC)</v>
          </cell>
          <cell r="D2255" t="str">
            <v>Site Supervisor</v>
          </cell>
        </row>
        <row r="2256">
          <cell r="A2256" t="str">
            <v>1061210819</v>
          </cell>
          <cell r="B2256" t="str">
            <v>Saud Alshogroud</v>
          </cell>
          <cell r="C2256" t="str">
            <v>QIDDIYA</v>
          </cell>
          <cell r="D2256" t="str">
            <v>Permitting Officer Director</v>
          </cell>
        </row>
        <row r="2257">
          <cell r="A2257" t="str">
            <v>1118434487</v>
          </cell>
          <cell r="B2257" t="str">
            <v>Sawan eyad</v>
          </cell>
          <cell r="C2257" t="str">
            <v>BUILDING ROOTS</v>
          </cell>
          <cell r="D2257" t="str">
            <v>Site Engineer</v>
          </cell>
        </row>
        <row r="2258">
          <cell r="A2258" t="str">
            <v>2437328053</v>
          </cell>
          <cell r="B2258" t="str">
            <v>Sayibdad Khan</v>
          </cell>
          <cell r="C2258" t="str">
            <v>ALMABANI CONT.</v>
          </cell>
          <cell r="D2258" t="str">
            <v>Steel Fixer</v>
          </cell>
        </row>
        <row r="2259">
          <cell r="A2259" t="str">
            <v>2616637662</v>
          </cell>
          <cell r="B2259" t="str">
            <v>Sazit</v>
          </cell>
          <cell r="C2259" t="str">
            <v>BUILDING ROOTS</v>
          </cell>
          <cell r="D2259" t="str">
            <v>Steel Fixer</v>
          </cell>
        </row>
        <row r="2260">
          <cell r="A2260" t="str">
            <v>2510522044</v>
          </cell>
          <cell r="B2260" t="str">
            <v>Selim Miah</v>
          </cell>
          <cell r="C2260" t="str">
            <v>PRAINSA</v>
          </cell>
          <cell r="D2260" t="str">
            <v>Labour</v>
          </cell>
        </row>
        <row r="2261">
          <cell r="A2261" t="str">
            <v>6162606999</v>
          </cell>
          <cell r="B2261" t="str">
            <v>Sfrdar Aydogdyyev</v>
          </cell>
          <cell r="C2261" t="str">
            <v>BOUYGUES CONST.</v>
          </cell>
          <cell r="D2261" t="str">
            <v>Method Engineer</v>
          </cell>
        </row>
        <row r="2262">
          <cell r="A2262" t="str">
            <v>2568857224</v>
          </cell>
          <cell r="B2262" t="str">
            <v>Shabab Abdullah</v>
          </cell>
          <cell r="C2262" t="str">
            <v>BUILDING ROOTS</v>
          </cell>
          <cell r="D2262" t="str">
            <v>Carpenter</v>
          </cell>
        </row>
        <row r="2263">
          <cell r="A2263" t="str">
            <v>2611542474</v>
          </cell>
          <cell r="B2263" t="str">
            <v>Shabaz Ali</v>
          </cell>
          <cell r="C2263" t="str">
            <v>BUILDING ROOTS</v>
          </cell>
          <cell r="D2263" t="str">
            <v>Steel Fixer</v>
          </cell>
        </row>
        <row r="2264">
          <cell r="A2264" t="str">
            <v>2557868896</v>
          </cell>
          <cell r="B2264" t="str">
            <v>Shabbir</v>
          </cell>
          <cell r="C2264" t="str">
            <v>BUILDING ROOTS</v>
          </cell>
          <cell r="D2264" t="str">
            <v>Steel Fixer</v>
          </cell>
        </row>
        <row r="2265">
          <cell r="A2265" t="str">
            <v>2621588983</v>
          </cell>
          <cell r="B2265" t="str">
            <v>Shabib Mohammed</v>
          </cell>
          <cell r="C2265" t="str">
            <v>BUILDING ROOTS</v>
          </cell>
          <cell r="D2265" t="str">
            <v>Carpenter</v>
          </cell>
        </row>
        <row r="2266">
          <cell r="A2266" t="str">
            <v>2432010649</v>
          </cell>
          <cell r="B2266" t="str">
            <v>Shabir</v>
          </cell>
          <cell r="C2266" t="str">
            <v>ALMABANI CONT.</v>
          </cell>
          <cell r="D2266" t="str">
            <v>Painter</v>
          </cell>
        </row>
        <row r="2267">
          <cell r="A2267" t="str">
            <v>2589503052</v>
          </cell>
          <cell r="B2267" t="str">
            <v>Shabir</v>
          </cell>
          <cell r="C2267" t="str">
            <v>ELITE HEART</v>
          </cell>
          <cell r="D2267" t="str">
            <v>Scaffolder</v>
          </cell>
        </row>
        <row r="2268">
          <cell r="A2268" t="str">
            <v>2548993639</v>
          </cell>
          <cell r="B2268" t="str">
            <v>Shabir Ahmed</v>
          </cell>
          <cell r="C2268" t="str">
            <v>BUILDING ROOTS</v>
          </cell>
          <cell r="D2268" t="str">
            <v>Carpenter</v>
          </cell>
        </row>
        <row r="2269">
          <cell r="A2269" t="str">
            <v>2508272478</v>
          </cell>
          <cell r="B2269" t="str">
            <v>Shabir Khan</v>
          </cell>
          <cell r="C2269" t="str">
            <v>BUILDING ROOTS</v>
          </cell>
          <cell r="D2269" t="str">
            <v>Carpenter</v>
          </cell>
        </row>
        <row r="2270">
          <cell r="A2270" t="str">
            <v>2508272479</v>
          </cell>
          <cell r="B2270" t="str">
            <v>Shabir Khan</v>
          </cell>
          <cell r="C2270" t="str">
            <v>BUILDING ROOTS</v>
          </cell>
          <cell r="D2270" t="str">
            <v>Carpenter</v>
          </cell>
        </row>
        <row r="2271">
          <cell r="A2271" t="str">
            <v>2619482660</v>
          </cell>
          <cell r="B2271" t="str">
            <v>Shadman khan</v>
          </cell>
          <cell r="C2271" t="str">
            <v>BUILDING ROOTS</v>
          </cell>
          <cell r="D2271" t="str">
            <v>labor</v>
          </cell>
        </row>
        <row r="2272">
          <cell r="A2272" t="str">
            <v>2532006976</v>
          </cell>
          <cell r="B2272" t="str">
            <v>Shafik</v>
          </cell>
          <cell r="C2272" t="str">
            <v>ALMABANI CONT.</v>
          </cell>
          <cell r="D2272" t="str">
            <v>Gypsum Fixer</v>
          </cell>
        </row>
        <row r="2273">
          <cell r="A2273" t="str">
            <v>2622637201</v>
          </cell>
          <cell r="B2273" t="str">
            <v>Shafitol Hok</v>
          </cell>
          <cell r="C2273" t="str">
            <v>PRAINSA</v>
          </cell>
          <cell r="D2273" t="str">
            <v>Labour</v>
          </cell>
        </row>
        <row r="2274">
          <cell r="A2274" t="str">
            <v>2690614731</v>
          </cell>
          <cell r="B2274" t="str">
            <v>Shafiullah</v>
          </cell>
          <cell r="C2274" t="str">
            <v>BUILDING ROOTS</v>
          </cell>
          <cell r="D2274" t="str">
            <v>Carpenter</v>
          </cell>
        </row>
        <row r="2275">
          <cell r="A2275" t="str">
            <v>2587248598</v>
          </cell>
          <cell r="B2275" t="str">
            <v>Shah Alam</v>
          </cell>
          <cell r="C2275" t="str">
            <v>BUILDING ROOTS</v>
          </cell>
          <cell r="D2275" t="str">
            <v>Scaffolder</v>
          </cell>
        </row>
        <row r="2276">
          <cell r="A2276" t="str">
            <v>2607710064</v>
          </cell>
          <cell r="B2276" t="str">
            <v>Shah Alam</v>
          </cell>
          <cell r="C2276" t="str">
            <v>BUILDING ROOTS</v>
          </cell>
          <cell r="D2276" t="str">
            <v>Carpenter</v>
          </cell>
        </row>
        <row r="2277">
          <cell r="A2277" t="str">
            <v>2533833915</v>
          </cell>
          <cell r="B2277" t="str">
            <v>Shah Alam</v>
          </cell>
          <cell r="C2277" t="str">
            <v>ELITE HEART</v>
          </cell>
          <cell r="D2277" t="str">
            <v>Carpenter</v>
          </cell>
        </row>
        <row r="2278">
          <cell r="A2278" t="str">
            <v>2508212079</v>
          </cell>
          <cell r="B2278" t="str">
            <v>Shah Fahad</v>
          </cell>
          <cell r="C2278" t="str">
            <v>BUILDING ROOTS</v>
          </cell>
          <cell r="D2278" t="str">
            <v>Hse Supervisor</v>
          </cell>
        </row>
        <row r="2279">
          <cell r="A2279" t="str">
            <v>2620291365</v>
          </cell>
          <cell r="B2279" t="str">
            <v>Shah Fahad</v>
          </cell>
          <cell r="C2279" t="str">
            <v>ELITE HEART</v>
          </cell>
          <cell r="D2279" t="str">
            <v>Steel Fixer</v>
          </cell>
        </row>
        <row r="2280">
          <cell r="A2280" t="str">
            <v>2549560601</v>
          </cell>
          <cell r="B2280" t="str">
            <v>Shah Faisal</v>
          </cell>
          <cell r="C2280" t="str">
            <v>ELITE HEART</v>
          </cell>
          <cell r="D2280" t="str">
            <v>Welding Operator</v>
          </cell>
        </row>
        <row r="2281">
          <cell r="A2281" t="str">
            <v>2391932494</v>
          </cell>
          <cell r="B2281" t="str">
            <v>Shah Khalid</v>
          </cell>
          <cell r="C2281" t="str">
            <v>BUILDING ROOTS</v>
          </cell>
          <cell r="D2281" t="str">
            <v>Carpenter</v>
          </cell>
        </row>
        <row r="2282">
          <cell r="A2282" t="str">
            <v>2619944495</v>
          </cell>
          <cell r="B2282" t="str">
            <v>Shah Khalid</v>
          </cell>
          <cell r="C2282" t="str">
            <v>NFT</v>
          </cell>
          <cell r="D2282" t="str">
            <v>Rigger 3</v>
          </cell>
        </row>
        <row r="2283">
          <cell r="A2283" t="str">
            <v>2563844782</v>
          </cell>
          <cell r="B2283" t="str">
            <v>Shah Khan</v>
          </cell>
          <cell r="C2283" t="str">
            <v>GLOBAL CASTLES</v>
          </cell>
          <cell r="D2283" t="str">
            <v>Steel Fixer</v>
          </cell>
        </row>
        <row r="2284">
          <cell r="A2284" t="str">
            <v>2614750344</v>
          </cell>
          <cell r="B2284" t="str">
            <v>Shah Pahad</v>
          </cell>
          <cell r="C2284" t="str">
            <v>BUILDING ROOTS</v>
          </cell>
          <cell r="D2284" t="str">
            <v>Helper</v>
          </cell>
        </row>
        <row r="2285">
          <cell r="A2285" t="str">
            <v>2536909209</v>
          </cell>
          <cell r="B2285" t="str">
            <v>Shah Rahman</v>
          </cell>
          <cell r="C2285" t="str">
            <v>ELITE HEART</v>
          </cell>
          <cell r="D2285" t="str">
            <v>Carpenter</v>
          </cell>
        </row>
        <row r="2286">
          <cell r="A2286" t="str">
            <v>2628847697</v>
          </cell>
          <cell r="B2286" t="str">
            <v>Shahab Bacha</v>
          </cell>
          <cell r="C2286" t="str">
            <v>BUILDING ROOTS</v>
          </cell>
          <cell r="D2286" t="str">
            <v>Labour</v>
          </cell>
        </row>
        <row r="2287">
          <cell r="A2287" t="str">
            <v>2529598126</v>
          </cell>
          <cell r="B2287" t="str">
            <v>Shahab Hussain</v>
          </cell>
          <cell r="C2287" t="str">
            <v>BUILDING ROOTS</v>
          </cell>
          <cell r="D2287" t="str">
            <v>Mason</v>
          </cell>
        </row>
        <row r="2288">
          <cell r="A2288" t="str">
            <v>2562781837</v>
          </cell>
          <cell r="B2288" t="str">
            <v>Shahab Khan</v>
          </cell>
          <cell r="C2288" t="str">
            <v>ELITE HEART</v>
          </cell>
          <cell r="D2288" t="str">
            <v>Labour</v>
          </cell>
        </row>
        <row r="2289">
          <cell r="A2289" t="str">
            <v>2606039127</v>
          </cell>
          <cell r="B2289" t="str">
            <v>Shahad Ahmad</v>
          </cell>
          <cell r="C2289" t="str">
            <v>BUILDING ROOTS</v>
          </cell>
          <cell r="D2289" t="str">
            <v>Carpenter</v>
          </cell>
        </row>
        <row r="2290">
          <cell r="A2290" t="str">
            <v>2620824884</v>
          </cell>
          <cell r="B2290" t="str">
            <v>Shahadat</v>
          </cell>
          <cell r="C2290" t="str">
            <v>ELITE HEART</v>
          </cell>
          <cell r="D2290" t="str">
            <v>Helper</v>
          </cell>
        </row>
        <row r="2291">
          <cell r="A2291" t="str">
            <v>2615704828</v>
          </cell>
          <cell r="B2291" t="str">
            <v>Shahadat</v>
          </cell>
          <cell r="C2291" t="str">
            <v>GLOBAL CASTLES</v>
          </cell>
          <cell r="D2291" t="str">
            <v>Labour</v>
          </cell>
        </row>
        <row r="2292">
          <cell r="A2292" t="str">
            <v>2534120395</v>
          </cell>
          <cell r="B2292" t="str">
            <v>Shahbaz</v>
          </cell>
          <cell r="C2292" t="str">
            <v>SAUDI BAUER</v>
          </cell>
          <cell r="D2292" t="str">
            <v>Flagman</v>
          </cell>
        </row>
        <row r="2293">
          <cell r="A2293" t="str">
            <v>2630447460</v>
          </cell>
          <cell r="B2293" t="str">
            <v>Shahdat dianat</v>
          </cell>
          <cell r="C2293" t="str">
            <v>ANNAQ</v>
          </cell>
          <cell r="D2293" t="str">
            <v>Helper</v>
          </cell>
        </row>
        <row r="2294">
          <cell r="A2294" t="str">
            <v>2610939346</v>
          </cell>
          <cell r="B2294" t="str">
            <v>Shaheen</v>
          </cell>
          <cell r="C2294" t="str">
            <v>BUILDING ROOTS</v>
          </cell>
          <cell r="D2294" t="str">
            <v>Steel Fixer</v>
          </cell>
        </row>
        <row r="2295">
          <cell r="A2295" t="str">
            <v>2428863647</v>
          </cell>
          <cell r="B2295" t="str">
            <v>Shaheen Bhuyan</v>
          </cell>
          <cell r="C2295" t="str">
            <v>BUILDING ROOTS</v>
          </cell>
          <cell r="D2295" t="str">
            <v>Labour</v>
          </cell>
        </row>
        <row r="2296">
          <cell r="A2296" t="str">
            <v>2457479265</v>
          </cell>
          <cell r="B2296" t="str">
            <v>Shahid</v>
          </cell>
          <cell r="C2296" t="str">
            <v>ALMABANI CONT.</v>
          </cell>
          <cell r="D2296" t="str">
            <v>Electrician</v>
          </cell>
        </row>
        <row r="2297">
          <cell r="A2297" t="str">
            <v>243345676</v>
          </cell>
          <cell r="B2297" t="str">
            <v>Shahid</v>
          </cell>
          <cell r="C2297" t="str">
            <v>ALMABANI CONT.</v>
          </cell>
          <cell r="D2297" t="str">
            <v>Electrician</v>
          </cell>
        </row>
        <row r="2298">
          <cell r="A2298" t="str">
            <v>2463114773</v>
          </cell>
          <cell r="B2298" t="str">
            <v>Shahid</v>
          </cell>
          <cell r="C2298" t="str">
            <v>SAUDI BAUER</v>
          </cell>
          <cell r="D2298" t="str">
            <v>Helper</v>
          </cell>
        </row>
        <row r="2299">
          <cell r="A2299" t="str">
            <v>2619636893</v>
          </cell>
          <cell r="B2299" t="str">
            <v>Shahid</v>
          </cell>
          <cell r="C2299" t="str">
            <v>BUILDING ROOTS</v>
          </cell>
          <cell r="D2299" t="str">
            <v>Carpenter</v>
          </cell>
        </row>
        <row r="2300">
          <cell r="A2300" t="str">
            <v>2532434855</v>
          </cell>
          <cell r="B2300" t="str">
            <v>Shahid Ali</v>
          </cell>
          <cell r="C2300" t="str">
            <v>BUILDING ROOTS</v>
          </cell>
          <cell r="D2300" t="str">
            <v>Carpenter</v>
          </cell>
        </row>
        <row r="2301">
          <cell r="A2301" t="str">
            <v>2589169222</v>
          </cell>
          <cell r="B2301" t="str">
            <v>Shahid Ali</v>
          </cell>
          <cell r="C2301" t="str">
            <v>BUILDING ROOTS</v>
          </cell>
          <cell r="D2301" t="str">
            <v>Steel Fixer</v>
          </cell>
        </row>
        <row r="2302">
          <cell r="A2302" t="str">
            <v>2627239426</v>
          </cell>
          <cell r="B2302" t="str">
            <v>Shahid Ali</v>
          </cell>
          <cell r="C2302" t="str">
            <v>ELITE HEART</v>
          </cell>
          <cell r="D2302" t="str">
            <v>Carpenter</v>
          </cell>
        </row>
        <row r="2303">
          <cell r="A2303" t="str">
            <v>2555388095</v>
          </cell>
          <cell r="B2303" t="str">
            <v>Shahid Khan</v>
          </cell>
          <cell r="C2303" t="str">
            <v>BUILDING ROOTS</v>
          </cell>
          <cell r="D2303" t="str">
            <v>Labour</v>
          </cell>
        </row>
        <row r="2304">
          <cell r="A2304" t="str">
            <v>2630857924</v>
          </cell>
          <cell r="B2304" t="str">
            <v>Shahid Khan</v>
          </cell>
          <cell r="C2304" t="str">
            <v>GLOBAL CASTLES</v>
          </cell>
          <cell r="D2304" t="str">
            <v>Steel Fixer</v>
          </cell>
        </row>
        <row r="2305">
          <cell r="A2305" t="str">
            <v>2618184960</v>
          </cell>
          <cell r="B2305" t="str">
            <v>Shahid Mahmood</v>
          </cell>
          <cell r="C2305" t="str">
            <v>BUILDING ROOTS</v>
          </cell>
          <cell r="D2305" t="str">
            <v>Steel Fixer</v>
          </cell>
        </row>
        <row r="2306">
          <cell r="A2306" t="str">
            <v>2217390703</v>
          </cell>
          <cell r="B2306" t="str">
            <v>Shahid Mahmoud</v>
          </cell>
          <cell r="C2306" t="str">
            <v>ELITE HEART</v>
          </cell>
          <cell r="D2306" t="str">
            <v>Supervisor</v>
          </cell>
        </row>
        <row r="2307">
          <cell r="A2307" t="str">
            <v>2605911961</v>
          </cell>
          <cell r="B2307" t="str">
            <v>Shahid Mian</v>
          </cell>
          <cell r="C2307" t="str">
            <v>BUILDING ROOTS</v>
          </cell>
          <cell r="D2307" t="str">
            <v>Scaffolder</v>
          </cell>
        </row>
        <row r="2308">
          <cell r="A2308" t="str">
            <v>2539644977</v>
          </cell>
          <cell r="B2308" t="str">
            <v>Shahid Noor</v>
          </cell>
          <cell r="C2308" t="str">
            <v>ELITE HEART</v>
          </cell>
          <cell r="D2308" t="str">
            <v>Dump Truck Operator</v>
          </cell>
        </row>
        <row r="2309">
          <cell r="A2309" t="str">
            <v>2619835446</v>
          </cell>
          <cell r="B2309" t="str">
            <v>Shahid Rahman</v>
          </cell>
          <cell r="C2309" t="str">
            <v>BUILDING ROOTS</v>
          </cell>
          <cell r="D2309" t="str">
            <v>Labor</v>
          </cell>
        </row>
        <row r="2310">
          <cell r="A2310" t="str">
            <v>2616949539</v>
          </cell>
          <cell r="B2310" t="str">
            <v>Shahid khan</v>
          </cell>
          <cell r="C2310" t="str">
            <v>BUILDING ROOTS</v>
          </cell>
          <cell r="D2310" t="str">
            <v>Carpenter</v>
          </cell>
        </row>
        <row r="2311">
          <cell r="A2311" t="str">
            <v>2527729582</v>
          </cell>
          <cell r="B2311" t="str">
            <v>Shahidul Islam</v>
          </cell>
          <cell r="C2311" t="str">
            <v>GLOBAL CASTLES</v>
          </cell>
          <cell r="D2311" t="str">
            <v>Electrician</v>
          </cell>
        </row>
        <row r="2312">
          <cell r="A2312" t="str">
            <v>2555866801</v>
          </cell>
          <cell r="B2312" t="str">
            <v>Shahidul islam</v>
          </cell>
          <cell r="C2312" t="str">
            <v>ELITE HEART</v>
          </cell>
          <cell r="D2312" t="str">
            <v>scaffolder</v>
          </cell>
        </row>
        <row r="2313">
          <cell r="A2313" t="str">
            <v>2532100209</v>
          </cell>
          <cell r="B2313" t="str">
            <v>Shahim</v>
          </cell>
          <cell r="C2313" t="str">
            <v>ALMABANI CONT.</v>
          </cell>
          <cell r="D2313" t="str">
            <v>Electrician</v>
          </cell>
        </row>
        <row r="2314">
          <cell r="A2314" t="str">
            <v>2603213204</v>
          </cell>
          <cell r="B2314" t="str">
            <v>Shahin</v>
          </cell>
          <cell r="C2314" t="str">
            <v>GLOBAL CASTLES</v>
          </cell>
          <cell r="D2314" t="str">
            <v>Labour</v>
          </cell>
        </row>
        <row r="2315">
          <cell r="A2315" t="str">
            <v>26030548010</v>
          </cell>
          <cell r="B2315" t="str">
            <v>Shahin</v>
          </cell>
          <cell r="C2315" t="str">
            <v>ANNAQ</v>
          </cell>
          <cell r="D2315" t="str">
            <v>Labor</v>
          </cell>
        </row>
        <row r="2316">
          <cell r="A2316" t="str">
            <v>2623200066</v>
          </cell>
          <cell r="B2316" t="str">
            <v>Shahin Akon</v>
          </cell>
          <cell r="C2316" t="str">
            <v>GLOBAL CASTLES</v>
          </cell>
          <cell r="D2316" t="str">
            <v>Steel Fixer</v>
          </cell>
        </row>
        <row r="2317">
          <cell r="A2317" t="str">
            <v>2575512492</v>
          </cell>
          <cell r="B2317" t="str">
            <v>Shahriyar</v>
          </cell>
          <cell r="C2317" t="str">
            <v>ELITE HEART</v>
          </cell>
          <cell r="D2317" t="str">
            <v>Steel Fixer</v>
          </cell>
        </row>
        <row r="2318">
          <cell r="A2318" t="str">
            <v>2612145066</v>
          </cell>
          <cell r="B2318" t="str">
            <v>Shahriyaz Lal</v>
          </cell>
          <cell r="C2318" t="str">
            <v>BUILDING ROOTS</v>
          </cell>
          <cell r="D2318" t="str">
            <v>Carpenter</v>
          </cell>
        </row>
        <row r="2319">
          <cell r="A2319" t="str">
            <v>2593388589</v>
          </cell>
          <cell r="B2319" t="str">
            <v>Shahruk Khan</v>
          </cell>
          <cell r="C2319" t="str">
            <v>SAUDI BAUER</v>
          </cell>
          <cell r="D2319" t="str">
            <v>Driver</v>
          </cell>
        </row>
        <row r="2320">
          <cell r="A2320" t="str">
            <v>2570850830</v>
          </cell>
          <cell r="B2320" t="str">
            <v>Shahsawar Hayat</v>
          </cell>
          <cell r="C2320" t="str">
            <v>BUILDING ROOTS</v>
          </cell>
          <cell r="D2320" t="str">
            <v>Steel Fixer</v>
          </cell>
        </row>
        <row r="2321">
          <cell r="A2321" t="str">
            <v>2558536278</v>
          </cell>
          <cell r="B2321" t="str">
            <v>Shahyor Shoaib</v>
          </cell>
          <cell r="C2321" t="str">
            <v>ELITE HEART</v>
          </cell>
          <cell r="D2321" t="str">
            <v>Steel Fixer</v>
          </cell>
        </row>
        <row r="2322">
          <cell r="A2322" t="str">
            <v>2590791899</v>
          </cell>
          <cell r="B2322" t="str">
            <v>Shahzad</v>
          </cell>
          <cell r="C2322" t="str">
            <v>SAUDI BAUER</v>
          </cell>
          <cell r="D2322" t="str">
            <v>Helper</v>
          </cell>
        </row>
        <row r="2323">
          <cell r="A2323" t="str">
            <v>2529829737</v>
          </cell>
          <cell r="B2323" t="str">
            <v>Shahzad</v>
          </cell>
          <cell r="C2323" t="str">
            <v>BUILDING ROOTS</v>
          </cell>
          <cell r="D2323" t="str">
            <v>Labour</v>
          </cell>
        </row>
        <row r="2324">
          <cell r="A2324" t="str">
            <v>2540305733</v>
          </cell>
          <cell r="B2324" t="str">
            <v>Shahzad</v>
          </cell>
          <cell r="C2324" t="str">
            <v>SAUDI BAUER</v>
          </cell>
          <cell r="D2324" t="str">
            <v>Helper</v>
          </cell>
        </row>
        <row r="2325">
          <cell r="A2325" t="str">
            <v>2525416208</v>
          </cell>
          <cell r="B2325" t="str">
            <v>Shahzad Ahmed</v>
          </cell>
          <cell r="C2325" t="str">
            <v>BUILDING ROOTS</v>
          </cell>
          <cell r="D2325" t="str">
            <v>Labour</v>
          </cell>
        </row>
        <row r="2326">
          <cell r="A2326" t="str">
            <v>2509845463</v>
          </cell>
          <cell r="B2326" t="str">
            <v>Shahzad Ali</v>
          </cell>
          <cell r="C2326" t="str">
            <v>BUILDING ROOTS</v>
          </cell>
          <cell r="D2326" t="str">
            <v>Steel Fixer</v>
          </cell>
        </row>
        <row r="2327">
          <cell r="A2327" t="str">
            <v>2593757624</v>
          </cell>
          <cell r="B2327" t="str">
            <v>Shahzad Khan</v>
          </cell>
          <cell r="C2327" t="str">
            <v>BUILDING ROOTS</v>
          </cell>
          <cell r="D2327" t="str">
            <v>Labour</v>
          </cell>
        </row>
        <row r="2328">
          <cell r="A2328" t="str">
            <v>2512972726</v>
          </cell>
          <cell r="B2328" t="str">
            <v>Shahzad Khan</v>
          </cell>
          <cell r="C2328" t="str">
            <v>BUILDING ROOTS</v>
          </cell>
          <cell r="D2328" t="str">
            <v>Scaffolder</v>
          </cell>
        </row>
        <row r="2329">
          <cell r="A2329" t="str">
            <v>2539453122</v>
          </cell>
          <cell r="B2329" t="str">
            <v>Shahzad Khan</v>
          </cell>
          <cell r="C2329" t="str">
            <v>ELITE HEART</v>
          </cell>
          <cell r="D2329" t="str">
            <v>Steel Fixer</v>
          </cell>
        </row>
        <row r="2330">
          <cell r="A2330" t="str">
            <v>2584070912</v>
          </cell>
          <cell r="B2330" t="str">
            <v>Shahzad Lal</v>
          </cell>
          <cell r="C2330" t="str">
            <v>BUILDING ROOTS</v>
          </cell>
          <cell r="D2330" t="str">
            <v>Carpenter</v>
          </cell>
        </row>
        <row r="2331">
          <cell r="A2331" t="str">
            <v>2628847564</v>
          </cell>
          <cell r="B2331" t="str">
            <v>Shahzeb Khan</v>
          </cell>
          <cell r="C2331" t="str">
            <v>BUILDING ROOTS</v>
          </cell>
          <cell r="D2331" t="str">
            <v>Labour</v>
          </cell>
        </row>
        <row r="2332">
          <cell r="A2332" t="str">
            <v>2586836401</v>
          </cell>
          <cell r="B2332" t="str">
            <v>Shahzeb khan</v>
          </cell>
          <cell r="C2332" t="str">
            <v>BUILDING ROOTS</v>
          </cell>
          <cell r="D2332" t="str">
            <v>Labor</v>
          </cell>
        </row>
        <row r="2333">
          <cell r="A2333" t="str">
            <v>2600998005</v>
          </cell>
          <cell r="B2333" t="str">
            <v>Shajalal</v>
          </cell>
          <cell r="C2333" t="str">
            <v>GLOBAL CASTLE</v>
          </cell>
          <cell r="D2333" t="str">
            <v>foreman steel fixer</v>
          </cell>
        </row>
        <row r="2334">
          <cell r="A2334" t="str">
            <v>2507051940</v>
          </cell>
          <cell r="B2334" t="str">
            <v>Shak Md</v>
          </cell>
          <cell r="C2334" t="str">
            <v>JV (BBI-AGC)</v>
          </cell>
          <cell r="D2334" t="str">
            <v>Surveyor Helper</v>
          </cell>
        </row>
        <row r="2335">
          <cell r="A2335" t="str">
            <v>2484246083</v>
          </cell>
          <cell r="B2335" t="str">
            <v>Shakeel Khan</v>
          </cell>
          <cell r="C2335" t="str">
            <v>NFT</v>
          </cell>
          <cell r="D2335" t="str">
            <v>Tower Crane Operator</v>
          </cell>
        </row>
        <row r="2336">
          <cell r="A2336" t="str">
            <v>2545456499</v>
          </cell>
          <cell r="B2336" t="str">
            <v>Shakeel Khan</v>
          </cell>
          <cell r="C2336" t="str">
            <v>ELITE HEART</v>
          </cell>
          <cell r="D2336" t="str">
            <v>Scaffolder</v>
          </cell>
        </row>
        <row r="2337">
          <cell r="A2337" t="str">
            <v>2552116788</v>
          </cell>
          <cell r="B2337" t="str">
            <v>Shakeel Khan</v>
          </cell>
          <cell r="C2337" t="str">
            <v>ELITE HEART</v>
          </cell>
          <cell r="D2337" t="str">
            <v>Labor</v>
          </cell>
        </row>
        <row r="2338">
          <cell r="A2338" t="str">
            <v>2351597071</v>
          </cell>
          <cell r="B2338" t="str">
            <v>Shakeel Sattar</v>
          </cell>
          <cell r="C2338" t="str">
            <v>AL FAL HOUSE</v>
          </cell>
          <cell r="D2338" t="str">
            <v>Labour</v>
          </cell>
        </row>
        <row r="2339">
          <cell r="A2339" t="str">
            <v>2609805284</v>
          </cell>
          <cell r="B2339" t="str">
            <v>Shakeel ahmed</v>
          </cell>
          <cell r="C2339" t="str">
            <v>BUILDING ROOTS</v>
          </cell>
          <cell r="D2339" t="str">
            <v>Carpenter</v>
          </cell>
        </row>
        <row r="2340">
          <cell r="A2340" t="str">
            <v>2533949182</v>
          </cell>
          <cell r="B2340" t="str">
            <v>Shakeel ahmed</v>
          </cell>
          <cell r="C2340" t="str">
            <v>ELITE HEART</v>
          </cell>
          <cell r="D2340" t="str">
            <v>Steel Fixer</v>
          </cell>
        </row>
        <row r="2341">
          <cell r="A2341" t="str">
            <v>2524856115</v>
          </cell>
          <cell r="B2341" t="str">
            <v>Shakil</v>
          </cell>
          <cell r="C2341" t="str">
            <v>JV (BBI-AGC)</v>
          </cell>
          <cell r="D2341" t="str">
            <v>Traffic Marshal</v>
          </cell>
        </row>
        <row r="2342">
          <cell r="A2342" t="str">
            <v>2515580658</v>
          </cell>
          <cell r="B2342" t="str">
            <v>Shakil</v>
          </cell>
          <cell r="C2342" t="str">
            <v>BUILDING ROOTS</v>
          </cell>
          <cell r="D2342" t="str">
            <v>Scaffolder</v>
          </cell>
        </row>
        <row r="2343">
          <cell r="A2343" t="str">
            <v>2524807845</v>
          </cell>
          <cell r="B2343" t="str">
            <v>Shakil Sarif</v>
          </cell>
          <cell r="C2343" t="str">
            <v>ALMABANI CONT.</v>
          </cell>
          <cell r="D2343" t="str">
            <v>Painter</v>
          </cell>
        </row>
        <row r="2344">
          <cell r="A2344" t="str">
            <v>2530661731</v>
          </cell>
          <cell r="B2344" t="str">
            <v>Shakir</v>
          </cell>
          <cell r="C2344" t="str">
            <v>BUILDING ROOTS</v>
          </cell>
          <cell r="D2344" t="str">
            <v>Steel Fixer</v>
          </cell>
        </row>
        <row r="2345">
          <cell r="A2345" t="str">
            <v>2510711837</v>
          </cell>
          <cell r="B2345" t="str">
            <v>Shakir</v>
          </cell>
          <cell r="C2345" t="str">
            <v>BUILDING ROOTS</v>
          </cell>
          <cell r="D2345" t="str">
            <v>Carpenter</v>
          </cell>
        </row>
        <row r="2346">
          <cell r="A2346" t="str">
            <v>2392943185</v>
          </cell>
          <cell r="B2346" t="str">
            <v>Shakir Ali</v>
          </cell>
          <cell r="C2346" t="str">
            <v>BUILDING ROOTS</v>
          </cell>
          <cell r="D2346" t="str">
            <v>Carpenter</v>
          </cell>
        </row>
        <row r="2347">
          <cell r="A2347" t="str">
            <v>2564322135</v>
          </cell>
          <cell r="B2347" t="str">
            <v>Shakir Khan</v>
          </cell>
          <cell r="C2347" t="str">
            <v>SAUDI BAUER</v>
          </cell>
          <cell r="D2347" t="str">
            <v>Flag Man</v>
          </cell>
        </row>
        <row r="2348">
          <cell r="A2348" t="str">
            <v>2533012494</v>
          </cell>
          <cell r="B2348" t="str">
            <v>Shakir Qazi</v>
          </cell>
          <cell r="C2348" t="str">
            <v>GLOBAL CASTLES</v>
          </cell>
          <cell r="D2348" t="str">
            <v>Lifting Supervisor</v>
          </cell>
        </row>
        <row r="2349">
          <cell r="A2349" t="str">
            <v>2616035362</v>
          </cell>
          <cell r="B2349" t="str">
            <v>Shakir Ullah</v>
          </cell>
          <cell r="C2349" t="str">
            <v>BUILDING ROOTS</v>
          </cell>
          <cell r="D2349" t="str">
            <v>Steel Fixer</v>
          </cell>
        </row>
        <row r="2350">
          <cell r="A2350" t="str">
            <v>2620509824</v>
          </cell>
          <cell r="B2350" t="str">
            <v>Shakir Zaman</v>
          </cell>
          <cell r="C2350" t="str">
            <v>BUILDING ROOTS</v>
          </cell>
          <cell r="D2350" t="str">
            <v>Labour</v>
          </cell>
        </row>
        <row r="2351">
          <cell r="A2351" t="str">
            <v>2631924723</v>
          </cell>
          <cell r="B2351" t="str">
            <v>Shalim Khan</v>
          </cell>
          <cell r="C2351" t="str">
            <v>GLOBAL CASTLES</v>
          </cell>
          <cell r="D2351" t="str">
            <v>Steel Fixer</v>
          </cell>
        </row>
        <row r="2352">
          <cell r="A2352" t="str">
            <v>2599662166</v>
          </cell>
          <cell r="B2352" t="str">
            <v>Shaller Saeed</v>
          </cell>
          <cell r="C2352" t="str">
            <v>BUILDING ROOTS</v>
          </cell>
          <cell r="D2352" t="str">
            <v>Carpenter</v>
          </cell>
        </row>
        <row r="2353">
          <cell r="A2353" t="str">
            <v>2468040544</v>
          </cell>
          <cell r="B2353" t="str">
            <v>Shameem</v>
          </cell>
          <cell r="C2353" t="str">
            <v>BUILDING ROOTS</v>
          </cell>
          <cell r="D2353" t="str">
            <v>Labour</v>
          </cell>
        </row>
        <row r="2354">
          <cell r="A2354" t="str">
            <v>2504253663</v>
          </cell>
          <cell r="B2354" t="str">
            <v>Shamid Ullah</v>
          </cell>
          <cell r="C2354" t="str">
            <v>BUILDING ROOTS</v>
          </cell>
          <cell r="D2354" t="str">
            <v>Labour</v>
          </cell>
        </row>
        <row r="2355">
          <cell r="A2355" t="str">
            <v>2259368401</v>
          </cell>
          <cell r="B2355" t="str">
            <v>Shamim Ahsan</v>
          </cell>
          <cell r="C2355" t="str">
            <v>GLOBAL CASTLES</v>
          </cell>
          <cell r="D2355" t="str">
            <v>Electrician</v>
          </cell>
        </row>
        <row r="2356">
          <cell r="A2356" t="str">
            <v>2621373910</v>
          </cell>
          <cell r="B2356" t="str">
            <v>Shamim sheikh</v>
          </cell>
          <cell r="C2356" t="str">
            <v>ANNAQ</v>
          </cell>
          <cell r="D2356" t="str">
            <v>helper</v>
          </cell>
        </row>
        <row r="2357">
          <cell r="A2357" t="str">
            <v>2528095827</v>
          </cell>
          <cell r="B2357" t="str">
            <v>Shamnad Thykandy</v>
          </cell>
          <cell r="C2357" t="str">
            <v>BOUYGUES CONST.</v>
          </cell>
          <cell r="D2357" t="str">
            <v>Senior Quantity Surveyor</v>
          </cell>
        </row>
        <row r="2358">
          <cell r="A2358" t="str">
            <v>2590694341</v>
          </cell>
          <cell r="B2358" t="str">
            <v>Shamshad Ahamed</v>
          </cell>
          <cell r="C2358" t="str">
            <v>PRAINSA</v>
          </cell>
          <cell r="D2358" t="str">
            <v>Safety Officer</v>
          </cell>
        </row>
        <row r="2359">
          <cell r="A2359" t="str">
            <v>2547854709</v>
          </cell>
          <cell r="B2359" t="str">
            <v>Shamshair Ali</v>
          </cell>
          <cell r="C2359" t="str">
            <v>ELITE HEART</v>
          </cell>
          <cell r="D2359" t="str">
            <v>Steel Fixer</v>
          </cell>
        </row>
        <row r="2360">
          <cell r="A2360" t="str">
            <v>2323904108</v>
          </cell>
          <cell r="B2360" t="str">
            <v>Shamsher ali</v>
          </cell>
          <cell r="C2360" t="str">
            <v>ELITE HEART</v>
          </cell>
          <cell r="D2360" t="str">
            <v>Foreman Carpenter</v>
          </cell>
        </row>
        <row r="2361">
          <cell r="A2361" t="str">
            <v>2543243279</v>
          </cell>
          <cell r="B2361" t="str">
            <v>Shanawaz</v>
          </cell>
          <cell r="C2361" t="str">
            <v>TAMIMI</v>
          </cell>
          <cell r="D2361" t="str">
            <v>Electrician</v>
          </cell>
        </row>
        <row r="2362">
          <cell r="A2362" t="str">
            <v>2515329403</v>
          </cell>
          <cell r="B2362" t="str">
            <v>Shapan Mia</v>
          </cell>
          <cell r="C2362" t="str">
            <v>BUILDING ROOTS</v>
          </cell>
          <cell r="D2362" t="str">
            <v>Steel Fixer</v>
          </cell>
        </row>
        <row r="2363">
          <cell r="A2363" t="str">
            <v>2562887642</v>
          </cell>
          <cell r="B2363" t="str">
            <v>Sharaf Mohammed</v>
          </cell>
          <cell r="C2363" t="str">
            <v>BUILDING ROOTS</v>
          </cell>
          <cell r="D2363" t="str">
            <v>Carpenter</v>
          </cell>
        </row>
        <row r="2364">
          <cell r="A2364" t="str">
            <v>2561670890</v>
          </cell>
          <cell r="B2364" t="str">
            <v>Sharif</v>
          </cell>
          <cell r="C2364" t="str">
            <v>BUILDING ROOTS</v>
          </cell>
          <cell r="D2364" t="str">
            <v>Labour</v>
          </cell>
        </row>
        <row r="2365">
          <cell r="A2365" t="str">
            <v>2535210388</v>
          </cell>
          <cell r="B2365" t="str">
            <v>Sharif Ullah</v>
          </cell>
          <cell r="C2365" t="str">
            <v>BUILDING ROOTS</v>
          </cell>
          <cell r="D2365" t="str">
            <v>Labour</v>
          </cell>
        </row>
        <row r="2366">
          <cell r="A2366" t="str">
            <v>2248467397</v>
          </cell>
          <cell r="B2366" t="str">
            <v>Shaukat</v>
          </cell>
          <cell r="C2366" t="str">
            <v>ALMABANI CONT.</v>
          </cell>
          <cell r="D2366" t="str">
            <v>Flagman</v>
          </cell>
        </row>
        <row r="2367">
          <cell r="A2367" t="str">
            <v>2500084971</v>
          </cell>
          <cell r="B2367" t="str">
            <v>Shaukat Hussain</v>
          </cell>
          <cell r="C2367" t="str">
            <v>BUILDING ROOTS</v>
          </cell>
          <cell r="D2367" t="str">
            <v>Scaffolder</v>
          </cell>
        </row>
        <row r="2368">
          <cell r="A2368" t="str">
            <v>2593357920</v>
          </cell>
          <cell r="B2368" t="str">
            <v>Shazaib Muhammad</v>
          </cell>
          <cell r="C2368" t="str">
            <v>BUILDING ROOTS</v>
          </cell>
          <cell r="D2368" t="str">
            <v>Steel Fixer</v>
          </cell>
        </row>
        <row r="2369">
          <cell r="A2369" t="str">
            <v>2501014233</v>
          </cell>
          <cell r="B2369" t="str">
            <v>Shehab</v>
          </cell>
          <cell r="C2369" t="str">
            <v>BUILDING ROOTS</v>
          </cell>
          <cell r="D2369" t="str">
            <v>Carpenter</v>
          </cell>
        </row>
        <row r="2370">
          <cell r="A2370" t="str">
            <v>2525526410</v>
          </cell>
          <cell r="B2370" t="str">
            <v>Shehab Muhammad</v>
          </cell>
          <cell r="C2370" t="str">
            <v>BUILDING ROOTS</v>
          </cell>
          <cell r="D2370" t="str">
            <v>Foreman Carpenter</v>
          </cell>
        </row>
        <row r="2371">
          <cell r="A2371" t="str">
            <v>2373665351</v>
          </cell>
          <cell r="B2371" t="str">
            <v>Shehala Abdallah</v>
          </cell>
          <cell r="C2371" t="str">
            <v>BUILDING ROOTS</v>
          </cell>
          <cell r="D2371" t="str">
            <v>Serveyor</v>
          </cell>
        </row>
        <row r="2372">
          <cell r="A2372" t="str">
            <v>2578722924</v>
          </cell>
          <cell r="B2372" t="str">
            <v>Sheharyar</v>
          </cell>
          <cell r="C2372" t="str">
            <v>BUILDING ROOTS</v>
          </cell>
          <cell r="D2372" t="str">
            <v>QC civil engineer</v>
          </cell>
        </row>
        <row r="2373">
          <cell r="A2373" t="str">
            <v>2597422528</v>
          </cell>
          <cell r="B2373" t="str">
            <v>Shehyrar</v>
          </cell>
          <cell r="C2373" t="str">
            <v>ELITE HEART</v>
          </cell>
          <cell r="D2373" t="str">
            <v>Helper</v>
          </cell>
        </row>
        <row r="2374">
          <cell r="A2374" t="str">
            <v>2584535880</v>
          </cell>
          <cell r="B2374" t="str">
            <v>Shehzad Khan</v>
          </cell>
          <cell r="C2374" t="str">
            <v>JV (BBI-AGC)</v>
          </cell>
          <cell r="D2374" t="str">
            <v>Labour</v>
          </cell>
        </row>
        <row r="2375">
          <cell r="A2375" t="str">
            <v>2502956556</v>
          </cell>
          <cell r="B2375" t="str">
            <v>Sheikh Fazlur Karim</v>
          </cell>
          <cell r="C2375" t="str">
            <v>SAUDI BAUER</v>
          </cell>
          <cell r="D2375" t="str">
            <v>Mechanical Team</v>
          </cell>
        </row>
        <row r="2376">
          <cell r="A2376" t="str">
            <v>2478172303</v>
          </cell>
          <cell r="B2376" t="str">
            <v>Shekh Nasiruddin</v>
          </cell>
          <cell r="C2376" t="str">
            <v>ALMABANI CONT.</v>
          </cell>
          <cell r="D2376" t="str">
            <v>Technician</v>
          </cell>
        </row>
        <row r="2377">
          <cell r="A2377" t="str">
            <v>2612481248</v>
          </cell>
          <cell r="B2377" t="str">
            <v>Shenaz Aslam</v>
          </cell>
          <cell r="C2377" t="str">
            <v>SAUDI BAUER</v>
          </cell>
          <cell r="D2377" t="str">
            <v>Helper</v>
          </cell>
        </row>
        <row r="2378">
          <cell r="A2378" t="str">
            <v>2548983978</v>
          </cell>
          <cell r="B2378" t="str">
            <v>Sher Alam Khan</v>
          </cell>
          <cell r="C2378" t="str">
            <v>BUILDING ROOTS</v>
          </cell>
          <cell r="D2378" t="str">
            <v>Steel Fixer</v>
          </cell>
        </row>
        <row r="2379">
          <cell r="A2379" t="str">
            <v>2394397240</v>
          </cell>
          <cell r="B2379" t="str">
            <v>Sher Baaz</v>
          </cell>
          <cell r="C2379" t="str">
            <v>BUILDING ROOTS</v>
          </cell>
          <cell r="D2379" t="str">
            <v>Steel Fixer</v>
          </cell>
        </row>
        <row r="2380">
          <cell r="A2380" t="str">
            <v>2343819567</v>
          </cell>
          <cell r="B2380" t="str">
            <v>Sher Bahadar</v>
          </cell>
          <cell r="C2380" t="str">
            <v>BUILDING ROOTS</v>
          </cell>
          <cell r="D2380" t="str">
            <v>Labour</v>
          </cell>
        </row>
        <row r="2381">
          <cell r="A2381" t="str">
            <v>2627722180</v>
          </cell>
          <cell r="B2381" t="str">
            <v>Sher Bahadar</v>
          </cell>
          <cell r="C2381" t="str">
            <v>BUILDING ROOTS</v>
          </cell>
          <cell r="D2381" t="str">
            <v>Carpenter</v>
          </cell>
        </row>
        <row r="2382">
          <cell r="A2382" t="str">
            <v>2130484567</v>
          </cell>
          <cell r="B2382" t="str">
            <v>Sher Kamal</v>
          </cell>
          <cell r="C2382" t="str">
            <v>SAUDI BAUER</v>
          </cell>
          <cell r="D2382" t="str">
            <v>Rig Operator</v>
          </cell>
        </row>
        <row r="2383">
          <cell r="A2383" t="str">
            <v>2629611720</v>
          </cell>
          <cell r="B2383" t="str">
            <v>Sher Muhammad</v>
          </cell>
          <cell r="C2383" t="str">
            <v>BUILDING ROOTS</v>
          </cell>
          <cell r="D2383" t="str">
            <v>Carpenter</v>
          </cell>
        </row>
        <row r="2384">
          <cell r="A2384" t="str">
            <v>2599028715</v>
          </cell>
          <cell r="B2384" t="str">
            <v>Sher Ullah</v>
          </cell>
          <cell r="C2384" t="str">
            <v>ELITE HEART</v>
          </cell>
          <cell r="D2384" t="str">
            <v>Carpenter</v>
          </cell>
        </row>
        <row r="2385">
          <cell r="A2385" t="str">
            <v>2607796113</v>
          </cell>
          <cell r="B2385" t="str">
            <v>Sheraz Riaz</v>
          </cell>
          <cell r="C2385" t="str">
            <v>BUILDING ROOTS</v>
          </cell>
          <cell r="D2385" t="str">
            <v>Steel Fixer</v>
          </cell>
        </row>
        <row r="2386">
          <cell r="A2386" t="str">
            <v>2593503531</v>
          </cell>
          <cell r="B2386" t="str">
            <v>Sheraz Riaz</v>
          </cell>
          <cell r="C2386" t="str">
            <v>BUILDING ROOTS</v>
          </cell>
          <cell r="D2386" t="str">
            <v>Carpenter</v>
          </cell>
        </row>
        <row r="2387">
          <cell r="A2387" t="str">
            <v>2597425228</v>
          </cell>
          <cell r="B2387" t="str">
            <v>Sheyar khan</v>
          </cell>
          <cell r="C2387" t="str">
            <v>ELITE HEART</v>
          </cell>
          <cell r="D2387" t="str">
            <v>Scaffolder</v>
          </cell>
        </row>
        <row r="2388">
          <cell r="A2388" t="str">
            <v>2611774395</v>
          </cell>
          <cell r="B2388" t="str">
            <v>Shihab Uddin</v>
          </cell>
          <cell r="C2388" t="str">
            <v>GLOBAL CASTLES</v>
          </cell>
          <cell r="D2388" t="str">
            <v>Labour</v>
          </cell>
        </row>
        <row r="2389">
          <cell r="A2389" t="str">
            <v>2619422013</v>
          </cell>
          <cell r="B2389" t="str">
            <v>Shihab Uddin</v>
          </cell>
          <cell r="C2389" t="str">
            <v>AL MUMAYAZ</v>
          </cell>
          <cell r="D2389" t="str">
            <v>Lab Technician</v>
          </cell>
        </row>
        <row r="2390">
          <cell r="A2390" t="str">
            <v>2602721009</v>
          </cell>
          <cell r="B2390" t="str">
            <v>Shipon ahmed</v>
          </cell>
          <cell r="C2390" t="str">
            <v>GLOBAL CASTLE</v>
          </cell>
          <cell r="D2390" t="str">
            <v>Scaffolder</v>
          </cell>
        </row>
        <row r="2391">
          <cell r="A2391" t="str">
            <v>2522315338</v>
          </cell>
          <cell r="B2391" t="str">
            <v>Shiv pujan singh</v>
          </cell>
          <cell r="C2391" t="str">
            <v>ELITE HEART</v>
          </cell>
          <cell r="D2391" t="str">
            <v>Rigger</v>
          </cell>
        </row>
        <row r="2392">
          <cell r="A2392" t="str">
            <v>2584695551</v>
          </cell>
          <cell r="B2392" t="str">
            <v>Shoaib</v>
          </cell>
          <cell r="C2392" t="str">
            <v>SAUDI BAUER</v>
          </cell>
          <cell r="D2392" t="str">
            <v>Crane Operator</v>
          </cell>
        </row>
        <row r="2393">
          <cell r="A2393" t="str">
            <v>2535822130</v>
          </cell>
          <cell r="B2393" t="str">
            <v>Shoaib</v>
          </cell>
          <cell r="C2393" t="str">
            <v>UNITED GULF</v>
          </cell>
          <cell r="D2393" t="str">
            <v>Carpenter/Welder</v>
          </cell>
        </row>
        <row r="2394">
          <cell r="A2394" t="str">
            <v>2513677903</v>
          </cell>
          <cell r="B2394" t="str">
            <v>Shoaib Ahmed</v>
          </cell>
          <cell r="C2394" t="str">
            <v>BUILDING ROOTS</v>
          </cell>
          <cell r="D2394" t="str">
            <v>Steel Fixer</v>
          </cell>
        </row>
        <row r="2395">
          <cell r="A2395" t="str">
            <v>2614523971</v>
          </cell>
          <cell r="B2395" t="str">
            <v>Shoaib Ahmed</v>
          </cell>
          <cell r="C2395" t="str">
            <v>BUILDING ROOTS</v>
          </cell>
          <cell r="D2395" t="str">
            <v>Steel Fixer</v>
          </cell>
        </row>
        <row r="2396">
          <cell r="A2396" t="str">
            <v>2526548645</v>
          </cell>
          <cell r="B2396" t="str">
            <v>Shohag Mia</v>
          </cell>
          <cell r="C2396" t="str">
            <v>BUILDING ROOTS</v>
          </cell>
          <cell r="D2396" t="str">
            <v>Scaffolder</v>
          </cell>
        </row>
        <row r="2397">
          <cell r="A2397" t="str">
            <v>2581988132</v>
          </cell>
          <cell r="B2397" t="str">
            <v>Shokat Khan</v>
          </cell>
          <cell r="C2397" t="str">
            <v>SAUDI BAUER</v>
          </cell>
          <cell r="D2397" t="str">
            <v>Dump Truck Driver</v>
          </cell>
        </row>
        <row r="2398">
          <cell r="A2398" t="str">
            <v>25955116630</v>
          </cell>
          <cell r="B2398" t="str">
            <v>Shokin Katu</v>
          </cell>
          <cell r="C2398" t="str">
            <v>BUILDING ROOTS</v>
          </cell>
          <cell r="D2398" t="str">
            <v>Jcb Operator</v>
          </cell>
        </row>
        <row r="2399">
          <cell r="A2399" t="str">
            <v>2527614073</v>
          </cell>
          <cell r="B2399" t="str">
            <v>Shoukat Hussain</v>
          </cell>
          <cell r="C2399" t="str">
            <v>ALMABANI CONT.</v>
          </cell>
          <cell r="D2399" t="str">
            <v>Flagman</v>
          </cell>
        </row>
        <row r="2400">
          <cell r="A2400" t="str">
            <v>2568683417</v>
          </cell>
          <cell r="B2400" t="str">
            <v>Shoukat moahmmed</v>
          </cell>
          <cell r="C2400" t="str">
            <v>BUILDING ROOTS</v>
          </cell>
          <cell r="D2400" t="str">
            <v>Foreman carpenter</v>
          </cell>
        </row>
        <row r="2401">
          <cell r="A2401" t="str">
            <v>2612042198</v>
          </cell>
          <cell r="B2401" t="str">
            <v>Shrawan Kumar</v>
          </cell>
          <cell r="C2401" t="str">
            <v>SAUDI BAUER</v>
          </cell>
          <cell r="D2401" t="str">
            <v>Ambulance Driver</v>
          </cell>
        </row>
        <row r="2402">
          <cell r="A2402" t="str">
            <v>2543399972</v>
          </cell>
          <cell r="B2402" t="str">
            <v>Shtamand laid</v>
          </cell>
          <cell r="C2402" t="str">
            <v>ELITE HEART</v>
          </cell>
          <cell r="D2402" t="str">
            <v>Scaffolder</v>
          </cell>
        </row>
        <row r="2403">
          <cell r="A2403" t="str">
            <v>2398959797</v>
          </cell>
          <cell r="B2403" t="str">
            <v>Shujah Hassan</v>
          </cell>
          <cell r="C2403" t="str">
            <v>ALMABANI CONT.</v>
          </cell>
          <cell r="D2403" t="str">
            <v>Electrician</v>
          </cell>
        </row>
        <row r="2404">
          <cell r="A2404" t="str">
            <v>2533309015</v>
          </cell>
          <cell r="B2404" t="str">
            <v>Shukhur Ali</v>
          </cell>
          <cell r="C2404" t="str">
            <v>ELITE HEART</v>
          </cell>
          <cell r="D2404" t="str">
            <v>Foreman</v>
          </cell>
        </row>
        <row r="2405">
          <cell r="A2405" t="str">
            <v>2472352794</v>
          </cell>
          <cell r="B2405" t="str">
            <v>Shyam Barahi</v>
          </cell>
          <cell r="C2405" t="str">
            <v>TAMIMI</v>
          </cell>
          <cell r="D2405" t="str">
            <v>Carpenter</v>
          </cell>
        </row>
        <row r="2406">
          <cell r="A2406" t="str">
            <v>2527613935</v>
          </cell>
          <cell r="B2406" t="str">
            <v>Siab Khan</v>
          </cell>
          <cell r="C2406" t="str">
            <v>ALMABANI CONT.</v>
          </cell>
          <cell r="D2406" t="str">
            <v>Painter</v>
          </cell>
        </row>
        <row r="2407">
          <cell r="A2407" t="str">
            <v>2610899722</v>
          </cell>
          <cell r="B2407" t="str">
            <v>Siam Sarder</v>
          </cell>
          <cell r="C2407" t="str">
            <v>GLOBAL CASTLES</v>
          </cell>
          <cell r="D2407" t="str">
            <v>Carpenter</v>
          </cell>
        </row>
        <row r="2408">
          <cell r="A2408" t="str">
            <v>2634709972</v>
          </cell>
          <cell r="B2408" t="str">
            <v>Sibat hssan</v>
          </cell>
          <cell r="C2408" t="str">
            <v>BUILDING ROOTS</v>
          </cell>
          <cell r="D2408" t="str">
            <v>Steel Fixer</v>
          </cell>
        </row>
        <row r="2409">
          <cell r="A2409" t="str">
            <v>2617134487</v>
          </cell>
          <cell r="B2409" t="str">
            <v>Sifat Ullah</v>
          </cell>
          <cell r="C2409" t="str">
            <v>BUILDING ROOTS</v>
          </cell>
          <cell r="D2409" t="str">
            <v>Labour</v>
          </cell>
        </row>
        <row r="2410">
          <cell r="A2410" t="str">
            <v>2578553071</v>
          </cell>
          <cell r="B2410" t="str">
            <v>Sikandar</v>
          </cell>
          <cell r="C2410" t="str">
            <v>TAMIMI</v>
          </cell>
          <cell r="D2410" t="str">
            <v>Helper</v>
          </cell>
        </row>
        <row r="2411">
          <cell r="A2411" t="str">
            <v>2616620981</v>
          </cell>
          <cell r="B2411" t="str">
            <v>Sikandar</v>
          </cell>
          <cell r="C2411" t="str">
            <v>BUILDING ROOTS</v>
          </cell>
          <cell r="D2411" t="str">
            <v>Labor</v>
          </cell>
        </row>
        <row r="2412">
          <cell r="A2412" t="str">
            <v>2567661166</v>
          </cell>
          <cell r="B2412" t="str">
            <v>Sikandar Ali</v>
          </cell>
          <cell r="C2412" t="str">
            <v>BUILDING ROOTS</v>
          </cell>
          <cell r="D2412" t="str">
            <v>Steel Fixer</v>
          </cell>
        </row>
        <row r="2413">
          <cell r="A2413" t="str">
            <v>2551451707</v>
          </cell>
          <cell r="B2413" t="str">
            <v>Sikandar Mohsin</v>
          </cell>
          <cell r="C2413" t="str">
            <v>BUILDING ROOTS</v>
          </cell>
          <cell r="D2413" t="str">
            <v>Steel Fixer</v>
          </cell>
        </row>
        <row r="2414">
          <cell r="A2414" t="str">
            <v>2590766610</v>
          </cell>
          <cell r="B2414" t="str">
            <v>Sikander Hayat</v>
          </cell>
          <cell r="C2414" t="str">
            <v>ELITE HEART</v>
          </cell>
          <cell r="D2414" t="str">
            <v>Foreman</v>
          </cell>
        </row>
        <row r="2415">
          <cell r="A2415" t="str">
            <v>2489656799</v>
          </cell>
          <cell r="B2415" t="str">
            <v>Simon Andrews</v>
          </cell>
          <cell r="C2415" t="str">
            <v>QIDDIYA</v>
          </cell>
          <cell r="D2415" t="str">
            <v>Senior Director</v>
          </cell>
        </row>
        <row r="2416">
          <cell r="A2416" t="str">
            <v>2411019967</v>
          </cell>
          <cell r="B2416" t="str">
            <v>Siraj Muhammad</v>
          </cell>
          <cell r="C2416" t="str">
            <v>BUILDING ROOTS</v>
          </cell>
          <cell r="D2416" t="str">
            <v>Foreman</v>
          </cell>
        </row>
        <row r="2417">
          <cell r="A2417" t="str">
            <v>2605947635</v>
          </cell>
          <cell r="B2417" t="str">
            <v>Siraj Uddin</v>
          </cell>
          <cell r="C2417" t="str">
            <v>ELITE HEART</v>
          </cell>
          <cell r="D2417" t="str">
            <v>Labour</v>
          </cell>
        </row>
        <row r="2418">
          <cell r="A2418" t="str">
            <v>2610396992</v>
          </cell>
          <cell r="B2418" t="str">
            <v>Sirajul Alam</v>
          </cell>
          <cell r="C2418" t="str">
            <v>GLOBAL CASTLES</v>
          </cell>
          <cell r="D2418" t="str">
            <v>Steel Fixer</v>
          </cell>
        </row>
        <row r="2419">
          <cell r="A2419" t="str">
            <v>2603201027</v>
          </cell>
          <cell r="B2419" t="str">
            <v>Siyam Howlader</v>
          </cell>
          <cell r="C2419" t="str">
            <v>GLOBAL CASTLES</v>
          </cell>
          <cell r="D2419" t="str">
            <v>Steel Fixer</v>
          </cell>
        </row>
        <row r="2420">
          <cell r="A2420" t="str">
            <v>2240570305</v>
          </cell>
          <cell r="B2420" t="str">
            <v>Sobirul Islam</v>
          </cell>
          <cell r="C2420" t="str">
            <v>PRAINSA</v>
          </cell>
          <cell r="D2420" t="str">
            <v>Labour</v>
          </cell>
        </row>
        <row r="2421">
          <cell r="A2421" t="str">
            <v>2608758724</v>
          </cell>
          <cell r="B2421" t="str">
            <v>Sobuj Hossai</v>
          </cell>
          <cell r="C2421" t="str">
            <v>GLOBAL CASTLES</v>
          </cell>
          <cell r="D2421" t="str">
            <v>Labour</v>
          </cell>
        </row>
        <row r="2422">
          <cell r="A2422" t="str">
            <v>2629485232</v>
          </cell>
          <cell r="B2422" t="str">
            <v>Sobuz Mia</v>
          </cell>
          <cell r="C2422" t="str">
            <v>BUILDING ROOTS</v>
          </cell>
          <cell r="D2422" t="str">
            <v>Labour</v>
          </cell>
        </row>
        <row r="2423">
          <cell r="A2423" t="str">
            <v>2519820779</v>
          </cell>
          <cell r="B2423" t="str">
            <v>Sodeb Das</v>
          </cell>
          <cell r="C2423" t="str">
            <v>JV (BBI-AGC)</v>
          </cell>
          <cell r="D2423" t="str">
            <v>Mason</v>
          </cell>
        </row>
        <row r="2424">
          <cell r="A2424" t="str">
            <v>2535952556</v>
          </cell>
          <cell r="B2424" t="str">
            <v>Sofan  Muhommod</v>
          </cell>
          <cell r="C2424" t="str">
            <v>ELITE HEART</v>
          </cell>
          <cell r="D2424" t="str">
            <v>Driver</v>
          </cell>
        </row>
        <row r="2425">
          <cell r="A2425" t="str">
            <v>2624966145</v>
          </cell>
          <cell r="B2425" t="str">
            <v>Sohab Rahman</v>
          </cell>
          <cell r="C2425" t="str">
            <v>NFT</v>
          </cell>
          <cell r="D2425" t="str">
            <v>Rigger 3</v>
          </cell>
        </row>
        <row r="2426">
          <cell r="A2426" t="str">
            <v>2628808632</v>
          </cell>
          <cell r="B2426" t="str">
            <v>Sohag</v>
          </cell>
          <cell r="C2426" t="str">
            <v>GLOBAL CASTLE</v>
          </cell>
          <cell r="D2426" t="str">
            <v>Steel Fixer</v>
          </cell>
        </row>
        <row r="2427">
          <cell r="A2427" t="str">
            <v>2516518109</v>
          </cell>
          <cell r="B2427" t="str">
            <v>Sohag Hosen</v>
          </cell>
          <cell r="C2427" t="str">
            <v>JV (BBI-AGC)</v>
          </cell>
          <cell r="D2427" t="str">
            <v>Electrician</v>
          </cell>
        </row>
        <row r="2428">
          <cell r="A2428" t="str">
            <v>2602595015</v>
          </cell>
          <cell r="B2428" t="str">
            <v>Sohag Hossain</v>
          </cell>
          <cell r="C2428" t="str">
            <v>GLOBAL CASTLES</v>
          </cell>
          <cell r="D2428" t="str">
            <v>Computer Operator</v>
          </cell>
        </row>
        <row r="2429">
          <cell r="A2429" t="str">
            <v>2670100194</v>
          </cell>
          <cell r="B2429" t="str">
            <v>Sohag Mian</v>
          </cell>
          <cell r="C2429" t="str">
            <v>BUILDING ROOTS</v>
          </cell>
          <cell r="D2429" t="str">
            <v>Scaffolder</v>
          </cell>
        </row>
        <row r="2430">
          <cell r="A2430" t="str">
            <v>2584537019</v>
          </cell>
          <cell r="B2430" t="str">
            <v>Sohaib</v>
          </cell>
          <cell r="C2430" t="str">
            <v>BUILDING ROOTS</v>
          </cell>
          <cell r="D2430" t="str">
            <v>Carpenter</v>
          </cell>
        </row>
        <row r="2431">
          <cell r="A2431" t="str">
            <v>2421691797</v>
          </cell>
          <cell r="B2431" t="str">
            <v>Sohail Ahmad</v>
          </cell>
          <cell r="C2431" t="str">
            <v>BUILDING ROOTS</v>
          </cell>
          <cell r="D2431" t="str">
            <v>Carpenter</v>
          </cell>
        </row>
        <row r="2432">
          <cell r="A2432" t="str">
            <v>2627848241</v>
          </cell>
          <cell r="B2432" t="str">
            <v>Sohail Amjad</v>
          </cell>
          <cell r="C2432" t="str">
            <v>UNITED</v>
          </cell>
          <cell r="D2432" t="str">
            <v>Site Engineer</v>
          </cell>
        </row>
        <row r="2433">
          <cell r="A2433" t="str">
            <v>2355782521</v>
          </cell>
          <cell r="B2433" t="str">
            <v>Sohail Iqbal</v>
          </cell>
          <cell r="C2433" t="str">
            <v>ELITE HEART</v>
          </cell>
          <cell r="D2433" t="str">
            <v>Electrician</v>
          </cell>
        </row>
        <row r="2434">
          <cell r="A2434" t="str">
            <v>2605565015</v>
          </cell>
          <cell r="B2434" t="str">
            <v>Sohail Waheed</v>
          </cell>
          <cell r="C2434" t="str">
            <v>BUILDING ROOTS</v>
          </cell>
          <cell r="D2434" t="str">
            <v>Welder</v>
          </cell>
        </row>
        <row r="2435">
          <cell r="A2435" t="str">
            <v>2633470907</v>
          </cell>
          <cell r="B2435" t="str">
            <v>Sohan molla</v>
          </cell>
          <cell r="C2435" t="str">
            <v>ANNAQ</v>
          </cell>
          <cell r="D2435" t="str">
            <v>Helper</v>
          </cell>
        </row>
        <row r="2436">
          <cell r="A2436" t="str">
            <v>2589502356</v>
          </cell>
          <cell r="B2436" t="str">
            <v>Sohel Mia</v>
          </cell>
          <cell r="C2436" t="str">
            <v>GLOBAL CASTLES</v>
          </cell>
          <cell r="D2436" t="str">
            <v>Carpenter</v>
          </cell>
        </row>
        <row r="2437">
          <cell r="A2437" t="str">
            <v>2592836221</v>
          </cell>
          <cell r="B2437" t="str">
            <v>Sohel Mia</v>
          </cell>
          <cell r="C2437" t="str">
            <v>BUILDING ROOTS</v>
          </cell>
          <cell r="D2437" t="str">
            <v>Scaffolder</v>
          </cell>
        </row>
        <row r="2438">
          <cell r="A2438" t="str">
            <v>2457408611</v>
          </cell>
          <cell r="B2438" t="str">
            <v>Sohel talukder</v>
          </cell>
          <cell r="C2438" t="str">
            <v>ANNAQ</v>
          </cell>
          <cell r="D2438" t="str">
            <v>Foreman</v>
          </cell>
        </row>
        <row r="2439">
          <cell r="A2439" t="str">
            <v>2521376166</v>
          </cell>
          <cell r="B2439" t="str">
            <v>Sohrab</v>
          </cell>
          <cell r="C2439" t="str">
            <v>ALMABANI CONT.</v>
          </cell>
          <cell r="D2439" t="str">
            <v>Flagman</v>
          </cell>
        </row>
        <row r="2440">
          <cell r="A2440" t="str">
            <v>2598659543</v>
          </cell>
          <cell r="B2440" t="str">
            <v>Soikat Hasan</v>
          </cell>
          <cell r="C2440" t="str">
            <v>BUILDING ROOTS</v>
          </cell>
          <cell r="D2440" t="str">
            <v>Scaffolder</v>
          </cell>
        </row>
        <row r="2441">
          <cell r="A2441" t="str">
            <v>2615307473</v>
          </cell>
          <cell r="B2441" t="str">
            <v>Sojib</v>
          </cell>
          <cell r="C2441" t="str">
            <v>ELITE HEART</v>
          </cell>
          <cell r="D2441" t="str">
            <v>Helper</v>
          </cell>
        </row>
        <row r="2442">
          <cell r="A2442" t="str">
            <v>2542908997</v>
          </cell>
          <cell r="B2442" t="str">
            <v>Sonu Khan</v>
          </cell>
          <cell r="C2442" t="str">
            <v>ELITE HEART</v>
          </cell>
          <cell r="D2442" t="str">
            <v>Operator</v>
          </cell>
        </row>
        <row r="2443">
          <cell r="A2443" t="str">
            <v>2528470913</v>
          </cell>
          <cell r="B2443" t="str">
            <v>Soref Abdul</v>
          </cell>
          <cell r="C2443" t="str">
            <v>GLOBAL CASTLES</v>
          </cell>
          <cell r="D2443" t="str">
            <v>Welder</v>
          </cell>
        </row>
        <row r="2444">
          <cell r="A2444" t="str">
            <v>2519792655</v>
          </cell>
          <cell r="B2444" t="str">
            <v>Stéphane Levenard</v>
          </cell>
          <cell r="C2444" t="str">
            <v>JV (BBI-AGC)</v>
          </cell>
          <cell r="D2444" t="str">
            <v>Construction Manager</v>
          </cell>
        </row>
        <row r="2445">
          <cell r="A2445" t="str">
            <v>2569998752</v>
          </cell>
          <cell r="B2445" t="str">
            <v>Sufian Ahmed</v>
          </cell>
          <cell r="C2445" t="str">
            <v>ELITE HEART</v>
          </cell>
          <cell r="D2445" t="str">
            <v>Mason</v>
          </cell>
        </row>
        <row r="2446">
          <cell r="A2446" t="str">
            <v>2537694453</v>
          </cell>
          <cell r="B2446" t="str">
            <v>Sufyan</v>
          </cell>
          <cell r="C2446" t="str">
            <v>BUILDING ROOTS</v>
          </cell>
          <cell r="D2446" t="str">
            <v>labor</v>
          </cell>
        </row>
        <row r="2447">
          <cell r="A2447" t="str">
            <v>2610213098</v>
          </cell>
          <cell r="B2447" t="str">
            <v>Sufyan ahmed</v>
          </cell>
          <cell r="C2447" t="str">
            <v>BUILDING ROOTS</v>
          </cell>
          <cell r="D2447" t="str">
            <v>Steel Fixer</v>
          </cell>
        </row>
        <row r="2448">
          <cell r="A2448" t="str">
            <v>2552932309</v>
          </cell>
          <cell r="B2448" t="str">
            <v>Sugesh T</v>
          </cell>
          <cell r="C2448" t="str">
            <v>WAVES TELECOM</v>
          </cell>
          <cell r="D2448" t="str">
            <v>Supervisor</v>
          </cell>
        </row>
        <row r="2449">
          <cell r="A2449" t="str">
            <v>2434001307</v>
          </cell>
          <cell r="B2449" t="str">
            <v>Sujam Shaikh</v>
          </cell>
          <cell r="C2449" t="str">
            <v>SAUDI BAUER</v>
          </cell>
          <cell r="D2449" t="str">
            <v>Lifting Supervisor</v>
          </cell>
        </row>
        <row r="2450">
          <cell r="A2450" t="str">
            <v>2541143414</v>
          </cell>
          <cell r="B2450" t="str">
            <v>Sujish Kumar</v>
          </cell>
          <cell r="C2450" t="str">
            <v>SAUDI BAUER</v>
          </cell>
          <cell r="D2450" t="str">
            <v>Mechanical Team</v>
          </cell>
        </row>
        <row r="2451">
          <cell r="A2451" t="str">
            <v>2532007628</v>
          </cell>
          <cell r="B2451" t="str">
            <v>Sujit Kumar</v>
          </cell>
          <cell r="C2451" t="str">
            <v>ALMABANI CONT.</v>
          </cell>
          <cell r="D2451" t="str">
            <v>Electrician</v>
          </cell>
        </row>
        <row r="2452">
          <cell r="A2452" t="str">
            <v>2499303812</v>
          </cell>
          <cell r="B2452" t="str">
            <v>Sulaiman Ahmed</v>
          </cell>
          <cell r="C2452" t="str">
            <v>GLOBAL CASTLES</v>
          </cell>
          <cell r="D2452" t="str">
            <v>Rigger - Iii</v>
          </cell>
        </row>
        <row r="2453">
          <cell r="A2453" t="str">
            <v>2631313463</v>
          </cell>
          <cell r="B2453" t="str">
            <v>Sulaiman Gul</v>
          </cell>
          <cell r="C2453" t="str">
            <v>ELITE HEART</v>
          </cell>
          <cell r="D2453" t="str">
            <v>Steel Fixer</v>
          </cell>
        </row>
        <row r="2454">
          <cell r="A2454" t="str">
            <v>2528193853</v>
          </cell>
          <cell r="B2454" t="str">
            <v>Sulaiman Khan</v>
          </cell>
          <cell r="C2454" t="str">
            <v>BUILDING ROOTS</v>
          </cell>
          <cell r="D2454" t="str">
            <v>Hse Officer</v>
          </cell>
        </row>
        <row r="2455">
          <cell r="A2455" t="str">
            <v>2302913781</v>
          </cell>
          <cell r="B2455" t="str">
            <v>Suliman</v>
          </cell>
          <cell r="C2455" t="str">
            <v>BUILDING ROOTS</v>
          </cell>
          <cell r="D2455" t="str">
            <v>Scaffolder</v>
          </cell>
        </row>
        <row r="2456">
          <cell r="A2456" t="str">
            <v>2601638626</v>
          </cell>
          <cell r="B2456" t="str">
            <v>Suliman Abdul</v>
          </cell>
          <cell r="C2456" t="str">
            <v>BUILDING ROOTS</v>
          </cell>
          <cell r="D2456" t="str">
            <v>Carpenter</v>
          </cell>
        </row>
        <row r="2457">
          <cell r="A2457" t="str">
            <v>2600715912</v>
          </cell>
          <cell r="B2457" t="str">
            <v>Suliman khan</v>
          </cell>
          <cell r="C2457" t="str">
            <v>AALICO</v>
          </cell>
          <cell r="D2457" t="str">
            <v>plumber</v>
          </cell>
        </row>
        <row r="2458">
          <cell r="A2458" t="str">
            <v>2628315489</v>
          </cell>
          <cell r="B2458" t="str">
            <v>Sultan Al-Asbahi</v>
          </cell>
          <cell r="C2458" t="str">
            <v>ANNAQ</v>
          </cell>
          <cell r="D2458" t="str">
            <v>Civil Engineer</v>
          </cell>
        </row>
        <row r="2459">
          <cell r="A2459" t="str">
            <v>2511136059</v>
          </cell>
          <cell r="B2459" t="str">
            <v>Sultan Mahmud</v>
          </cell>
          <cell r="C2459" t="str">
            <v>ELITE HEART</v>
          </cell>
          <cell r="D2459" t="str">
            <v>Rigger</v>
          </cell>
        </row>
        <row r="2460">
          <cell r="A2460" t="str">
            <v>2436290197</v>
          </cell>
          <cell r="B2460" t="str">
            <v>Sultan Md</v>
          </cell>
          <cell r="C2460" t="str">
            <v>ALMABANI CONT.</v>
          </cell>
          <cell r="D2460" t="str">
            <v>Labour</v>
          </cell>
        </row>
        <row r="2461">
          <cell r="A2461" t="str">
            <v>2627727247</v>
          </cell>
          <cell r="B2461" t="str">
            <v>Suman Pramanick</v>
          </cell>
          <cell r="C2461" t="str">
            <v>ELITE HEART</v>
          </cell>
          <cell r="D2461" t="str">
            <v>Carpenter</v>
          </cell>
        </row>
        <row r="2462">
          <cell r="A2462" t="str">
            <v>2596096079</v>
          </cell>
          <cell r="B2462" t="str">
            <v>Sumer Rehman</v>
          </cell>
          <cell r="C2462" t="str">
            <v>BUILDING ROOTS</v>
          </cell>
          <cell r="D2462" t="str">
            <v>Steel Fixer</v>
          </cell>
        </row>
        <row r="2463">
          <cell r="A2463" t="str">
            <v>2561511094</v>
          </cell>
          <cell r="B2463" t="str">
            <v>Sumon islam</v>
          </cell>
          <cell r="C2463" t="str">
            <v>GLOBAL CASTLE</v>
          </cell>
          <cell r="D2463" t="str">
            <v>Scaffolder</v>
          </cell>
        </row>
        <row r="2464">
          <cell r="A2464" t="str">
            <v>2634688804</v>
          </cell>
          <cell r="B2464" t="str">
            <v>Suraj shaikh</v>
          </cell>
          <cell r="C2464" t="str">
            <v>ANNAQ</v>
          </cell>
          <cell r="D2464" t="str">
            <v>Helper</v>
          </cell>
        </row>
        <row r="2465">
          <cell r="A2465" t="str">
            <v>2613183058</v>
          </cell>
          <cell r="B2465" t="str">
            <v>Surat Khan</v>
          </cell>
          <cell r="C2465" t="str">
            <v>SAUDI BAUER</v>
          </cell>
          <cell r="D2465" t="str">
            <v>Helper</v>
          </cell>
        </row>
        <row r="2466">
          <cell r="A2466" t="str">
            <v>2523237119</v>
          </cell>
          <cell r="B2466" t="str">
            <v>Surat Kumar</v>
          </cell>
          <cell r="C2466" t="str">
            <v>ALMABANI CONT.</v>
          </cell>
          <cell r="D2466" t="str">
            <v>Electrician</v>
          </cell>
        </row>
        <row r="2467">
          <cell r="A2467" t="str">
            <v>2615176480</v>
          </cell>
          <cell r="B2467" t="str">
            <v>Sween Biju</v>
          </cell>
          <cell r="C2467" t="str">
            <v>AJI RENTALS</v>
          </cell>
          <cell r="D2467" t="str">
            <v>Supervisor</v>
          </cell>
        </row>
        <row r="2468">
          <cell r="A2468" t="str">
            <v>23614218935</v>
          </cell>
          <cell r="B2468" t="str">
            <v>Syad Yakub</v>
          </cell>
          <cell r="C2468" t="str">
            <v>SAUDI BAUER</v>
          </cell>
          <cell r="D2468" t="str">
            <v>Technician</v>
          </cell>
        </row>
        <row r="2469">
          <cell r="A2469" t="str">
            <v>2546178779</v>
          </cell>
          <cell r="B2469" t="str">
            <v>Syed Abdul Wahab</v>
          </cell>
          <cell r="C2469" t="str">
            <v>BUILDING ROOTS</v>
          </cell>
          <cell r="D2469" t="str">
            <v>Scaffolder</v>
          </cell>
        </row>
        <row r="2470">
          <cell r="A2470" t="str">
            <v>6153783023</v>
          </cell>
          <cell r="B2470" t="str">
            <v>Syed Akbar</v>
          </cell>
          <cell r="C2470" t="str">
            <v>SAUDI BAUER</v>
          </cell>
          <cell r="D2470" t="str">
            <v>Technician</v>
          </cell>
        </row>
        <row r="2471">
          <cell r="A2471" t="str">
            <v>2618183087</v>
          </cell>
          <cell r="B2471" t="str">
            <v>Syed Arshid</v>
          </cell>
          <cell r="C2471" t="str">
            <v>BUILDING ROOTS</v>
          </cell>
          <cell r="D2471" t="str">
            <v>Labour</v>
          </cell>
        </row>
        <row r="2472">
          <cell r="A2472" t="str">
            <v>2273761862</v>
          </cell>
          <cell r="B2472" t="str">
            <v>Syed Athar</v>
          </cell>
          <cell r="C2472" t="str">
            <v>ELITE HEART</v>
          </cell>
          <cell r="D2472" t="str">
            <v>Project Manager</v>
          </cell>
        </row>
        <row r="2473">
          <cell r="A2473" t="str">
            <v>2567044504</v>
          </cell>
          <cell r="B2473" t="str">
            <v>Syed Awais</v>
          </cell>
          <cell r="C2473" t="str">
            <v>BUILDING ROOTS</v>
          </cell>
          <cell r="D2473" t="str">
            <v>Steel Fixer</v>
          </cell>
        </row>
        <row r="2474">
          <cell r="A2474" t="str">
            <v>2325205843</v>
          </cell>
          <cell r="B2474" t="str">
            <v>Syed Bilal</v>
          </cell>
          <cell r="C2474" t="str">
            <v>BUILDING ROOTS</v>
          </cell>
          <cell r="D2474" t="str">
            <v>Carpenter</v>
          </cell>
        </row>
        <row r="2475">
          <cell r="A2475" t="str">
            <v>2547313508</v>
          </cell>
          <cell r="B2475" t="str">
            <v>Syed Farhan</v>
          </cell>
          <cell r="C2475" t="str">
            <v>ELITE HEART</v>
          </cell>
          <cell r="D2475" t="str">
            <v>Site Engineer</v>
          </cell>
        </row>
        <row r="2476">
          <cell r="A2476" t="str">
            <v>2606962844</v>
          </cell>
          <cell r="B2476" t="str">
            <v>Syed Hossain</v>
          </cell>
          <cell r="C2476" t="str">
            <v>GLOBAL CASTLES</v>
          </cell>
          <cell r="D2476" t="str">
            <v>Labour</v>
          </cell>
        </row>
        <row r="2477">
          <cell r="A2477" t="str">
            <v>2612756474</v>
          </cell>
          <cell r="B2477" t="str">
            <v>Syed Malik</v>
          </cell>
          <cell r="C2477" t="str">
            <v>BUILDING ROOTS</v>
          </cell>
          <cell r="D2477" t="str">
            <v>Carpenter</v>
          </cell>
        </row>
        <row r="2478">
          <cell r="A2478" t="str">
            <v>2560565570</v>
          </cell>
          <cell r="B2478" t="str">
            <v>Syed Maqsood</v>
          </cell>
          <cell r="C2478" t="str">
            <v>BUILDING ROOTS</v>
          </cell>
          <cell r="D2478" t="str">
            <v>Steel Fixer</v>
          </cell>
        </row>
        <row r="2479">
          <cell r="A2479" t="str">
            <v>2564871073</v>
          </cell>
          <cell r="B2479" t="str">
            <v>Syed Mouzam Ali</v>
          </cell>
          <cell r="C2479" t="str">
            <v>BUILDING ROOTS</v>
          </cell>
          <cell r="D2479" t="str">
            <v>Steel Fixer</v>
          </cell>
        </row>
        <row r="2480">
          <cell r="A2480" t="str">
            <v>2631291347</v>
          </cell>
          <cell r="B2480" t="str">
            <v>Syed Mujahid Shah</v>
          </cell>
          <cell r="C2480" t="str">
            <v>BUILDING ROOTS</v>
          </cell>
          <cell r="D2480" t="str">
            <v>Carpenter</v>
          </cell>
        </row>
        <row r="2481">
          <cell r="A2481" t="str">
            <v>2318487291</v>
          </cell>
          <cell r="B2481" t="str">
            <v>Syed Niaz</v>
          </cell>
          <cell r="C2481" t="str">
            <v>BUILDING ROOTS</v>
          </cell>
          <cell r="D2481" t="str">
            <v>Foreman Scaffolder</v>
          </cell>
        </row>
        <row r="2482">
          <cell r="A2482" t="str">
            <v>2543592402</v>
          </cell>
          <cell r="B2482" t="str">
            <v>Syed Noman Hussain</v>
          </cell>
          <cell r="C2482" t="str">
            <v>TAMIMI</v>
          </cell>
          <cell r="D2482" t="str">
            <v>Helper</v>
          </cell>
        </row>
        <row r="2483">
          <cell r="A2483" t="str">
            <v>2376668703</v>
          </cell>
          <cell r="B2483" t="str">
            <v>Syed Tanvir</v>
          </cell>
          <cell r="C2483" t="str">
            <v>ALMABANI CONT.</v>
          </cell>
          <cell r="D2483" t="str">
            <v>Civil</v>
          </cell>
        </row>
        <row r="2484">
          <cell r="A2484" t="str">
            <v>2155848613</v>
          </cell>
          <cell r="B2484" t="str">
            <v>TaHSEen Khan</v>
          </cell>
          <cell r="C2484" t="str">
            <v>TAMIMI</v>
          </cell>
          <cell r="D2484" t="str">
            <v>A/C Tech</v>
          </cell>
        </row>
        <row r="2485">
          <cell r="A2485" t="str">
            <v>2540390461</v>
          </cell>
          <cell r="B2485" t="str">
            <v>TaHSEen Muhammad</v>
          </cell>
          <cell r="C2485" t="str">
            <v>BUILDING ROOTS</v>
          </cell>
          <cell r="D2485" t="str">
            <v>Labour</v>
          </cell>
        </row>
        <row r="2486">
          <cell r="A2486" t="str">
            <v>2532218746</v>
          </cell>
          <cell r="B2486" t="str">
            <v>Tabrej</v>
          </cell>
          <cell r="C2486" t="str">
            <v>ALMABANI CONT.</v>
          </cell>
          <cell r="D2486" t="str">
            <v>Painter</v>
          </cell>
        </row>
        <row r="2487">
          <cell r="A2487" t="str">
            <v>2532778657</v>
          </cell>
          <cell r="B2487" t="str">
            <v>Tabrez Alam</v>
          </cell>
          <cell r="C2487" t="str">
            <v>BUILDING ROOTS</v>
          </cell>
          <cell r="D2487" t="str">
            <v>Lifting Supervisor</v>
          </cell>
        </row>
        <row r="2488">
          <cell r="A2488" t="str">
            <v>2562333464</v>
          </cell>
          <cell r="B2488" t="str">
            <v>Tafayel</v>
          </cell>
          <cell r="C2488" t="str">
            <v>GLOBAL CASTLES</v>
          </cell>
          <cell r="D2488" t="str">
            <v>Carpenter</v>
          </cell>
        </row>
        <row r="2489">
          <cell r="A2489" t="str">
            <v>2551924125</v>
          </cell>
          <cell r="B2489" t="str">
            <v>Taha Mohamed</v>
          </cell>
          <cell r="C2489" t="str">
            <v>ELITE HEART</v>
          </cell>
          <cell r="D2489" t="str">
            <v>Fencing Man</v>
          </cell>
        </row>
        <row r="2490">
          <cell r="A2490" t="str">
            <v>2449286869</v>
          </cell>
          <cell r="B2490" t="str">
            <v>Taher Ahmed</v>
          </cell>
          <cell r="C2490" t="str">
            <v>BUILDING ROOTS</v>
          </cell>
          <cell r="D2490" t="str">
            <v>Carpenter</v>
          </cell>
        </row>
        <row r="2491">
          <cell r="A2491" t="str">
            <v>2472244769</v>
          </cell>
          <cell r="B2491" t="str">
            <v>Tahir</v>
          </cell>
          <cell r="C2491" t="str">
            <v>BUILDING ROOTS</v>
          </cell>
          <cell r="D2491" t="str">
            <v>Steel Fixer</v>
          </cell>
        </row>
        <row r="2492">
          <cell r="A2492" t="str">
            <v>2559884768</v>
          </cell>
          <cell r="B2492" t="str">
            <v>Tahsin Ullah</v>
          </cell>
          <cell r="C2492" t="str">
            <v>ELITE HEART</v>
          </cell>
          <cell r="D2492" t="str">
            <v>Carpenter</v>
          </cell>
        </row>
        <row r="2493">
          <cell r="A2493" t="str">
            <v>2620228508</v>
          </cell>
          <cell r="B2493" t="str">
            <v>Taimoor</v>
          </cell>
          <cell r="C2493" t="str">
            <v>ELITE HEART</v>
          </cell>
          <cell r="D2493" t="str">
            <v>Labour</v>
          </cell>
        </row>
        <row r="2494">
          <cell r="A2494" t="str">
            <v>2606523005</v>
          </cell>
          <cell r="B2494" t="str">
            <v>Taimoor Tahir Cheema</v>
          </cell>
          <cell r="C2494" t="str">
            <v>BUILDING ROOTS</v>
          </cell>
          <cell r="D2494" t="str">
            <v>Landscape Engineer</v>
          </cell>
        </row>
        <row r="2495">
          <cell r="A2495" t="str">
            <v>2602845550</v>
          </cell>
          <cell r="B2495" t="str">
            <v>Taj Khan</v>
          </cell>
          <cell r="C2495" t="str">
            <v>BUILDING ROOTS</v>
          </cell>
          <cell r="D2495" t="str">
            <v>Carpenter</v>
          </cell>
        </row>
        <row r="2496">
          <cell r="A2496" t="str">
            <v>2538356284</v>
          </cell>
          <cell r="B2496" t="str">
            <v>Taj Mohammed</v>
          </cell>
          <cell r="C2496" t="str">
            <v>BUILDING ROOTS</v>
          </cell>
          <cell r="D2496" t="str">
            <v>Carpenter</v>
          </cell>
        </row>
        <row r="2497">
          <cell r="A2497" t="str">
            <v>2620818847</v>
          </cell>
          <cell r="B2497" t="str">
            <v>Taj Muhamad</v>
          </cell>
          <cell r="C2497" t="str">
            <v>BUILDING ROOTS</v>
          </cell>
          <cell r="D2497" t="str">
            <v>Carpenter</v>
          </cell>
        </row>
        <row r="2498">
          <cell r="A2498" t="str">
            <v>2594049070</v>
          </cell>
          <cell r="B2498" t="str">
            <v>Taj khan</v>
          </cell>
          <cell r="C2498" t="str">
            <v>ELITE HEART</v>
          </cell>
          <cell r="D2498" t="str">
            <v>Labor</v>
          </cell>
        </row>
        <row r="2499">
          <cell r="A2499" t="str">
            <v>2552079929</v>
          </cell>
          <cell r="B2499" t="str">
            <v>Taj muhammad</v>
          </cell>
          <cell r="C2499" t="str">
            <v>ELITE HEART</v>
          </cell>
          <cell r="D2499" t="str">
            <v>Carpenter</v>
          </cell>
        </row>
        <row r="2500">
          <cell r="A2500" t="str">
            <v>2563660832</v>
          </cell>
          <cell r="B2500" t="str">
            <v>Taja zaren</v>
          </cell>
          <cell r="C2500" t="str">
            <v>BUILDING ROOTS</v>
          </cell>
          <cell r="D2500" t="str">
            <v>Carpenter</v>
          </cell>
        </row>
        <row r="2501">
          <cell r="A2501" t="str">
            <v>2525759797</v>
          </cell>
          <cell r="B2501" t="str">
            <v>Tajudas</v>
          </cell>
          <cell r="C2501" t="str">
            <v>ALMABANI CONT.</v>
          </cell>
          <cell r="D2501" t="str">
            <v>Painter</v>
          </cell>
        </row>
        <row r="2502">
          <cell r="A2502" t="str">
            <v>2564248736</v>
          </cell>
          <cell r="B2502" t="str">
            <v>Tajuddin Gulab</v>
          </cell>
          <cell r="C2502" t="str">
            <v>TAMIMI</v>
          </cell>
          <cell r="D2502" t="str">
            <v>Mason</v>
          </cell>
        </row>
        <row r="2503">
          <cell r="A2503" t="str">
            <v>2189877588</v>
          </cell>
          <cell r="B2503" t="str">
            <v>Talab</v>
          </cell>
          <cell r="C2503" t="str">
            <v>BUILDING ROOTS</v>
          </cell>
          <cell r="D2503" t="str">
            <v>Foreman</v>
          </cell>
        </row>
        <row r="2504">
          <cell r="A2504" t="str">
            <v>2623990403</v>
          </cell>
          <cell r="B2504" t="str">
            <v>Talal Mahmood</v>
          </cell>
          <cell r="C2504" t="str">
            <v>BUILDING ROOTS</v>
          </cell>
          <cell r="D2504" t="str">
            <v>Carpenter</v>
          </cell>
        </row>
        <row r="2505">
          <cell r="A2505" t="str">
            <v>2536466630</v>
          </cell>
          <cell r="B2505" t="str">
            <v>Talha</v>
          </cell>
          <cell r="C2505" t="str">
            <v>GLOBAL CASTLES</v>
          </cell>
          <cell r="D2505" t="str">
            <v>Rigger</v>
          </cell>
        </row>
        <row r="2506">
          <cell r="A2506" t="str">
            <v>2589995295</v>
          </cell>
          <cell r="B2506" t="str">
            <v>Talha Jan</v>
          </cell>
          <cell r="C2506" t="str">
            <v>BUILDING ROOTS</v>
          </cell>
          <cell r="D2506" t="str">
            <v>Safety Officer</v>
          </cell>
        </row>
        <row r="2507">
          <cell r="A2507" t="str">
            <v>2563184239</v>
          </cell>
          <cell r="B2507" t="str">
            <v>Tamer Ahmed</v>
          </cell>
          <cell r="C2507" t="str">
            <v>NFT</v>
          </cell>
          <cell r="D2507" t="str">
            <v>Erector</v>
          </cell>
        </row>
        <row r="2508">
          <cell r="A2508" t="str">
            <v>250768076</v>
          </cell>
          <cell r="B2508" t="str">
            <v>Tamjit Mia</v>
          </cell>
          <cell r="C2508" t="str">
            <v>BUILDING ROOTS</v>
          </cell>
          <cell r="D2508" t="str">
            <v>Scaffolder</v>
          </cell>
        </row>
        <row r="2509">
          <cell r="A2509" t="str">
            <v>2334516636</v>
          </cell>
          <cell r="B2509" t="str">
            <v>Taney mohammad</v>
          </cell>
          <cell r="C2509" t="str">
            <v>wadi dafa</v>
          </cell>
          <cell r="D2509" t="str">
            <v>Project manager</v>
          </cell>
        </row>
        <row r="2510">
          <cell r="A2510" t="str">
            <v>2513721760</v>
          </cell>
          <cell r="B2510" t="str">
            <v>Tanil Hussain</v>
          </cell>
          <cell r="C2510" t="str">
            <v>JV (BBI-AGC)</v>
          </cell>
          <cell r="D2510" t="str">
            <v>Rigger</v>
          </cell>
        </row>
        <row r="2511">
          <cell r="A2511" t="str">
            <v>2558660631</v>
          </cell>
          <cell r="B2511" t="str">
            <v>Tanveer Hussain</v>
          </cell>
          <cell r="C2511" t="str">
            <v>TAMIMI</v>
          </cell>
          <cell r="D2511" t="str">
            <v>Helper</v>
          </cell>
        </row>
        <row r="2512">
          <cell r="A2512" t="str">
            <v>2614379820</v>
          </cell>
          <cell r="B2512" t="str">
            <v>Tanvir</v>
          </cell>
          <cell r="C2512" t="str">
            <v>GLOBAL CASTLES</v>
          </cell>
          <cell r="D2512" t="str">
            <v>Labour</v>
          </cell>
        </row>
        <row r="2513">
          <cell r="A2513" t="str">
            <v>2591029716</v>
          </cell>
          <cell r="B2513" t="str">
            <v>Tanvir</v>
          </cell>
          <cell r="C2513" t="str">
            <v>BUILDING ROOTS</v>
          </cell>
          <cell r="D2513" t="str">
            <v>Scaffolder</v>
          </cell>
        </row>
        <row r="2514">
          <cell r="A2514" t="str">
            <v>2630549588</v>
          </cell>
          <cell r="B2514" t="str">
            <v>Tanvir</v>
          </cell>
          <cell r="C2514" t="str">
            <v>ANNAQ</v>
          </cell>
          <cell r="D2514" t="str">
            <v>Labor</v>
          </cell>
        </row>
        <row r="2515">
          <cell r="A2515" t="str">
            <v>2604903431</v>
          </cell>
          <cell r="B2515" t="str">
            <v>Tareq Hamed</v>
          </cell>
          <cell r="C2515" t="str">
            <v>BUILDING ROOTS</v>
          </cell>
          <cell r="D2515" t="str">
            <v>Carpenter</v>
          </cell>
        </row>
        <row r="2516">
          <cell r="A2516" t="str">
            <v>2504294667</v>
          </cell>
          <cell r="B2516" t="str">
            <v>Tareq ali zuhairi</v>
          </cell>
          <cell r="C2516" t="str">
            <v>ELITE HEART</v>
          </cell>
          <cell r="D2516" t="str">
            <v>boom truck operator</v>
          </cell>
        </row>
        <row r="2517">
          <cell r="A2517" t="str">
            <v>2620507752</v>
          </cell>
          <cell r="B2517" t="str">
            <v>Tarif Bhuiyon</v>
          </cell>
          <cell r="C2517" t="str">
            <v>GLOBAL CASTLES</v>
          </cell>
          <cell r="D2517" t="str">
            <v>Steel Fixer</v>
          </cell>
        </row>
        <row r="2518">
          <cell r="A2518" t="str">
            <v>2575106980</v>
          </cell>
          <cell r="B2518" t="str">
            <v>Tariq</v>
          </cell>
          <cell r="C2518" t="str">
            <v>SAUDI BAUER</v>
          </cell>
          <cell r="D2518" t="str">
            <v>Welder</v>
          </cell>
        </row>
        <row r="2519">
          <cell r="A2519" t="str">
            <v>2238265363</v>
          </cell>
          <cell r="B2519" t="str">
            <v>Tariq Mehmood</v>
          </cell>
          <cell r="C2519" t="str">
            <v>ALMABANI CONT.</v>
          </cell>
          <cell r="D2519" t="str">
            <v>Leadman</v>
          </cell>
        </row>
        <row r="2520">
          <cell r="A2520" t="str">
            <v>2522585716</v>
          </cell>
          <cell r="B2520" t="str">
            <v>Tariq Shaha</v>
          </cell>
          <cell r="C2520" t="str">
            <v>BUILDING ROOTS</v>
          </cell>
          <cell r="D2520" t="str">
            <v>Supervisor</v>
          </cell>
        </row>
        <row r="2521">
          <cell r="A2521" t="str">
            <v>2365759485</v>
          </cell>
          <cell r="B2521" t="str">
            <v>Tariq Ziad</v>
          </cell>
          <cell r="C2521" t="str">
            <v>BUILDING ROOTS</v>
          </cell>
          <cell r="D2521" t="str">
            <v>Technical Engineer</v>
          </cell>
        </row>
        <row r="2522">
          <cell r="A2522" t="str">
            <v>2605492996</v>
          </cell>
          <cell r="B2522" t="str">
            <v>Tariq khan</v>
          </cell>
          <cell r="C2522" t="str">
            <v>GLOBAL CASTLE</v>
          </cell>
          <cell r="D2522" t="str">
            <v>lifting supervisor</v>
          </cell>
        </row>
        <row r="2523">
          <cell r="A2523" t="str">
            <v>2495155166</v>
          </cell>
          <cell r="B2523" t="str">
            <v>Tarque Rabul</v>
          </cell>
          <cell r="C2523" t="str">
            <v>TAMIMI</v>
          </cell>
          <cell r="D2523" t="str">
            <v>Technician</v>
          </cell>
        </row>
        <row r="2524">
          <cell r="A2524" t="str">
            <v>2397187077</v>
          </cell>
          <cell r="B2524" t="str">
            <v>Tasawar iqbal</v>
          </cell>
          <cell r="C2524" t="str">
            <v>BUILDING ROOTS</v>
          </cell>
          <cell r="D2524" t="str">
            <v>Foreman</v>
          </cell>
        </row>
        <row r="2525">
          <cell r="A2525" t="str">
            <v>2533422412</v>
          </cell>
          <cell r="B2525" t="str">
            <v>Tasdeeq</v>
          </cell>
          <cell r="C2525" t="str">
            <v>ELITE HEART</v>
          </cell>
          <cell r="D2525" t="str">
            <v>Office Boy</v>
          </cell>
        </row>
        <row r="2526">
          <cell r="A2526" t="str">
            <v>2535491381</v>
          </cell>
          <cell r="B2526" t="str">
            <v>Taseer Khan</v>
          </cell>
          <cell r="C2526" t="str">
            <v>ELITE HEART</v>
          </cell>
          <cell r="D2526" t="str">
            <v>Steel Fixer</v>
          </cell>
        </row>
        <row r="2527">
          <cell r="A2527" t="str">
            <v>2598582324</v>
          </cell>
          <cell r="B2527" t="str">
            <v>Tashrif</v>
          </cell>
          <cell r="C2527" t="str">
            <v>SAUDI BAUER</v>
          </cell>
          <cell r="D2527" t="str">
            <v>Technician</v>
          </cell>
        </row>
        <row r="2528">
          <cell r="A2528" t="str">
            <v>2632403164</v>
          </cell>
          <cell r="B2528" t="str">
            <v>Tasin khan</v>
          </cell>
          <cell r="C2528" t="str">
            <v>ANNAQ</v>
          </cell>
          <cell r="D2528" t="str">
            <v>plumber</v>
          </cell>
        </row>
        <row r="2529">
          <cell r="A2529" t="str">
            <v>2294257726</v>
          </cell>
          <cell r="B2529" t="str">
            <v>Tayab</v>
          </cell>
          <cell r="C2529" t="str">
            <v>BUILDING ROOTS</v>
          </cell>
          <cell r="D2529" t="str">
            <v>Carpenter</v>
          </cell>
        </row>
        <row r="2530">
          <cell r="A2530" t="str">
            <v>2451468777</v>
          </cell>
          <cell r="B2530" t="str">
            <v>Tayfel Hossen</v>
          </cell>
          <cell r="C2530" t="str">
            <v>ALMABANI CONT.</v>
          </cell>
          <cell r="D2530" t="str">
            <v>Electrician</v>
          </cell>
        </row>
        <row r="2531">
          <cell r="A2531" t="str">
            <v>2605674783</v>
          </cell>
          <cell r="B2531" t="str">
            <v>Tayyab Ullah</v>
          </cell>
          <cell r="C2531" t="str">
            <v>SAUDI BAUER</v>
          </cell>
          <cell r="D2531" t="str">
            <v>Helper</v>
          </cell>
        </row>
        <row r="2532">
          <cell r="A2532" t="str">
            <v>2603280194</v>
          </cell>
          <cell r="B2532" t="str">
            <v>Thomas Hanmer</v>
          </cell>
          <cell r="C2532" t="str">
            <v>QIDDIYA</v>
          </cell>
          <cell r="D2532" t="str">
            <v>Development Manager</v>
          </cell>
        </row>
        <row r="2533">
          <cell r="A2533" t="str">
            <v>2210120461</v>
          </cell>
          <cell r="B2533" t="str">
            <v>Tijjab Bilal</v>
          </cell>
          <cell r="C2533" t="str">
            <v>-</v>
          </cell>
          <cell r="D2533" t="str">
            <v>-</v>
          </cell>
        </row>
        <row r="2534">
          <cell r="A2534" t="str">
            <v>2532220601</v>
          </cell>
          <cell r="B2534" t="str">
            <v>Tilel</v>
          </cell>
          <cell r="C2534" t="str">
            <v>ALMABANI CONT.</v>
          </cell>
          <cell r="D2534" t="str">
            <v>Painter</v>
          </cell>
        </row>
        <row r="2535">
          <cell r="A2535" t="str">
            <v>2535354084</v>
          </cell>
          <cell r="B2535" t="str">
            <v>Tofik Niyas</v>
          </cell>
          <cell r="C2535" t="str">
            <v>ALMABANI CONT.</v>
          </cell>
          <cell r="D2535" t="str">
            <v>Labour</v>
          </cell>
        </row>
        <row r="2536">
          <cell r="A2536" t="str">
            <v>2494162825</v>
          </cell>
          <cell r="B2536" t="str">
            <v>Toufeeq</v>
          </cell>
          <cell r="C2536" t="str">
            <v>ELITE HEART</v>
          </cell>
          <cell r="D2536" t="str">
            <v>Operator</v>
          </cell>
        </row>
        <row r="2537">
          <cell r="A2537" t="str">
            <v>2537629129</v>
          </cell>
          <cell r="B2537" t="str">
            <v>Toufeeq Ahmed</v>
          </cell>
          <cell r="C2537" t="str">
            <v>BUILDING ROOTS</v>
          </cell>
          <cell r="D2537" t="str">
            <v>Steel Fixer</v>
          </cell>
        </row>
        <row r="2538">
          <cell r="A2538" t="str">
            <v>2607171929</v>
          </cell>
          <cell r="B2538" t="str">
            <v>Touqeer</v>
          </cell>
          <cell r="C2538" t="str">
            <v>IDEA AND FLOW</v>
          </cell>
          <cell r="D2538" t="str">
            <v>Electrician</v>
          </cell>
        </row>
        <row r="2539">
          <cell r="A2539" t="str">
            <v>2535917708</v>
          </cell>
          <cell r="B2539" t="str">
            <v>Touqeer Ahmed</v>
          </cell>
          <cell r="C2539" t="str">
            <v>GLOBAL CASTLES</v>
          </cell>
          <cell r="D2539" t="str">
            <v>Rigger</v>
          </cell>
        </row>
        <row r="2540">
          <cell r="A2540" t="str">
            <v>2617134875</v>
          </cell>
          <cell r="B2540" t="str">
            <v>Towhid Jabed</v>
          </cell>
          <cell r="C2540" t="str">
            <v>GLOBAL CASTLES</v>
          </cell>
          <cell r="D2540" t="str">
            <v>Welder</v>
          </cell>
        </row>
        <row r="2541">
          <cell r="A2541" t="str">
            <v>2581785249</v>
          </cell>
          <cell r="B2541" t="str">
            <v>Tufail Ahmed</v>
          </cell>
          <cell r="C2541" t="str">
            <v>SAUDI BAUER</v>
          </cell>
          <cell r="D2541" t="str">
            <v>Rigger</v>
          </cell>
        </row>
        <row r="2542">
          <cell r="A2542" t="str">
            <v>2322563426</v>
          </cell>
          <cell r="B2542" t="str">
            <v>Tufail Khan</v>
          </cell>
          <cell r="C2542" t="str">
            <v>SAUDI BAUER</v>
          </cell>
          <cell r="D2542" t="str">
            <v>Excavator Operator</v>
          </cell>
        </row>
        <row r="2543">
          <cell r="A2543" t="str">
            <v>2517438160</v>
          </cell>
          <cell r="B2543" t="str">
            <v>Tuhin</v>
          </cell>
          <cell r="C2543" t="str">
            <v>SAUDI BAUER</v>
          </cell>
          <cell r="D2543" t="str">
            <v>Rigger</v>
          </cell>
        </row>
        <row r="2544">
          <cell r="A2544" t="str">
            <v>2581741697</v>
          </cell>
          <cell r="B2544" t="str">
            <v>Tuhin munsi</v>
          </cell>
          <cell r="C2544" t="str">
            <v>GLOBAL CASTLE</v>
          </cell>
          <cell r="D2544" t="str">
            <v>helper</v>
          </cell>
        </row>
        <row r="2545">
          <cell r="A2545" t="str">
            <v>2609696964</v>
          </cell>
          <cell r="B2545" t="str">
            <v>Ubaid Murtaza</v>
          </cell>
          <cell r="C2545" t="str">
            <v>BUILDING ROOTS</v>
          </cell>
          <cell r="D2545" t="str">
            <v>Labour</v>
          </cell>
        </row>
        <row r="2546">
          <cell r="A2546" t="str">
            <v>2557225691</v>
          </cell>
          <cell r="B2546" t="str">
            <v>Ubaid Ullah</v>
          </cell>
          <cell r="C2546" t="str">
            <v>BUILDING ROOTS</v>
          </cell>
          <cell r="D2546" t="str">
            <v>Scaffolder</v>
          </cell>
        </row>
        <row r="2547">
          <cell r="A2547" t="str">
            <v>2264275369</v>
          </cell>
          <cell r="B2547" t="str">
            <v>Ubaid Ur Rahman</v>
          </cell>
          <cell r="C2547" t="str">
            <v>ARABIAN TOWER</v>
          </cell>
          <cell r="D2547" t="str">
            <v>Erector</v>
          </cell>
        </row>
        <row r="2548">
          <cell r="A2548" t="str">
            <v>2588094603</v>
          </cell>
          <cell r="B2548" t="str">
            <v>Ubaid Ur Rehman</v>
          </cell>
          <cell r="C2548" t="str">
            <v>ELITE HEART</v>
          </cell>
          <cell r="D2548" t="str">
            <v>Qa / Qc Engineer</v>
          </cell>
        </row>
        <row r="2549">
          <cell r="A2549" t="str">
            <v>2217357520</v>
          </cell>
          <cell r="B2549" t="str">
            <v>Ubaid Ur Rehman</v>
          </cell>
          <cell r="C2549" t="str">
            <v>ALMABANI CONT.</v>
          </cell>
          <cell r="D2549" t="str">
            <v>Surveyor Helper</v>
          </cell>
        </row>
        <row r="2550">
          <cell r="A2550" t="str">
            <v>2632415242</v>
          </cell>
          <cell r="B2550" t="str">
            <v>Ubaid ur rehman</v>
          </cell>
          <cell r="C2550" t="str">
            <v>UNITED GULF</v>
          </cell>
          <cell r="D2550" t="str">
            <v>Safety officer</v>
          </cell>
        </row>
        <row r="2551">
          <cell r="A2551" t="str">
            <v>2469668723</v>
          </cell>
          <cell r="B2551" t="str">
            <v>Umair Farooq</v>
          </cell>
          <cell r="C2551" t="str">
            <v>SAUDI BAUER</v>
          </cell>
          <cell r="D2551" t="str">
            <v>Hse Coordinator</v>
          </cell>
        </row>
        <row r="2552">
          <cell r="A2552" t="str">
            <v>2417539978</v>
          </cell>
          <cell r="B2552" t="str">
            <v>Umair Hayat</v>
          </cell>
          <cell r="C2552" t="str">
            <v>BUILDING ROOTS</v>
          </cell>
          <cell r="D2552" t="str">
            <v>Steel Fixer</v>
          </cell>
        </row>
        <row r="2553">
          <cell r="A2553" t="str">
            <v>2585908573</v>
          </cell>
          <cell r="B2553" t="str">
            <v>Umair Mahmood</v>
          </cell>
          <cell r="C2553" t="str">
            <v>AJI RENTALS</v>
          </cell>
          <cell r="D2553" t="str">
            <v>Service Engineer</v>
          </cell>
        </row>
        <row r="2554">
          <cell r="A2554" t="str">
            <v>2345412783</v>
          </cell>
          <cell r="B2554" t="str">
            <v>Umair Zeeshan</v>
          </cell>
          <cell r="C2554" t="str">
            <v>BUILDING ROOTS</v>
          </cell>
          <cell r="D2554" t="str">
            <v>Steel Fixer</v>
          </cell>
        </row>
        <row r="2555">
          <cell r="A2555" t="str">
            <v>2600021626</v>
          </cell>
          <cell r="B2555" t="str">
            <v>Umar Ayaz</v>
          </cell>
          <cell r="C2555" t="str">
            <v>ELITE HEART</v>
          </cell>
          <cell r="D2555" t="str">
            <v>Carpenter</v>
          </cell>
        </row>
        <row r="2556">
          <cell r="A2556" t="str">
            <v>2407171103</v>
          </cell>
          <cell r="B2556" t="str">
            <v>Umar Bacha</v>
          </cell>
          <cell r="C2556" t="str">
            <v>BUILDING ROOTS</v>
          </cell>
          <cell r="D2556" t="str">
            <v>Steel Fixer</v>
          </cell>
        </row>
        <row r="2557">
          <cell r="A2557" t="str">
            <v>2542219650</v>
          </cell>
          <cell r="B2557" t="str">
            <v>Umar Farook</v>
          </cell>
          <cell r="C2557" t="str">
            <v>AL FARIS</v>
          </cell>
          <cell r="D2557" t="str">
            <v>Mechanic</v>
          </cell>
        </row>
        <row r="2558">
          <cell r="A2558" t="str">
            <v>2583182569</v>
          </cell>
          <cell r="B2558" t="str">
            <v>Umar Farooq</v>
          </cell>
          <cell r="C2558" t="str">
            <v>ELITE HEART</v>
          </cell>
          <cell r="D2558" t="str">
            <v>Steel Fixer</v>
          </cell>
        </row>
        <row r="2559">
          <cell r="A2559" t="str">
            <v>2552680528</v>
          </cell>
          <cell r="B2559" t="str">
            <v>Umar Farooq</v>
          </cell>
          <cell r="C2559" t="str">
            <v>BUILDING ROOTS</v>
          </cell>
          <cell r="D2559" t="str">
            <v>Labour</v>
          </cell>
        </row>
        <row r="2560">
          <cell r="A2560" t="str">
            <v>2606286892</v>
          </cell>
          <cell r="B2560" t="str">
            <v>Umar Hayat</v>
          </cell>
          <cell r="C2560" t="str">
            <v>BUILDING ROOTS</v>
          </cell>
          <cell r="D2560" t="str">
            <v>Steel Fixer</v>
          </cell>
        </row>
        <row r="2561">
          <cell r="A2561" t="str">
            <v>2613087150</v>
          </cell>
          <cell r="B2561" t="str">
            <v>Umar Mehmood</v>
          </cell>
          <cell r="C2561" t="str">
            <v>BUILDING ROOTS</v>
          </cell>
          <cell r="D2561" t="str">
            <v>Carpenter</v>
          </cell>
        </row>
        <row r="2562">
          <cell r="A2562" t="str">
            <v>2613487632</v>
          </cell>
          <cell r="B2562" t="str">
            <v>Umar Muhamod</v>
          </cell>
          <cell r="C2562" t="str">
            <v>ELITE HEART</v>
          </cell>
          <cell r="D2562" t="str">
            <v>Carpenter</v>
          </cell>
        </row>
        <row r="2563">
          <cell r="A2563" t="str">
            <v>2566085565</v>
          </cell>
          <cell r="B2563" t="str">
            <v>Umar nawaz</v>
          </cell>
          <cell r="C2563" t="str">
            <v>BUILDING ROOTS</v>
          </cell>
          <cell r="D2563" t="str">
            <v>Carpenter</v>
          </cell>
        </row>
        <row r="2564">
          <cell r="A2564" t="str">
            <v>2570470647</v>
          </cell>
          <cell r="B2564" t="str">
            <v>Umer</v>
          </cell>
          <cell r="C2564" t="str">
            <v>BUILDING ROOTS</v>
          </cell>
          <cell r="D2564" t="str">
            <v>Steel Fixer</v>
          </cell>
        </row>
        <row r="2565">
          <cell r="A2565" t="str">
            <v>2548899380</v>
          </cell>
          <cell r="B2565" t="str">
            <v>Umer</v>
          </cell>
          <cell r="C2565" t="str">
            <v>BUILDING ROOTS</v>
          </cell>
          <cell r="D2565" t="str">
            <v>Steel Fixer</v>
          </cell>
        </row>
        <row r="2566">
          <cell r="A2566" t="str">
            <v>2566922643</v>
          </cell>
          <cell r="B2566" t="str">
            <v>Umer Ali</v>
          </cell>
          <cell r="C2566" t="str">
            <v>UNITED GULF</v>
          </cell>
          <cell r="D2566" t="str">
            <v>Supervisor</v>
          </cell>
        </row>
        <row r="2567">
          <cell r="A2567" t="str">
            <v>2545185601</v>
          </cell>
          <cell r="B2567" t="str">
            <v>Umer Ateeq</v>
          </cell>
          <cell r="C2567" t="str">
            <v>BUILDING ROOTS</v>
          </cell>
          <cell r="D2567" t="str">
            <v>Steel Fixer</v>
          </cell>
        </row>
        <row r="2568">
          <cell r="A2568" t="str">
            <v>2593972587</v>
          </cell>
          <cell r="B2568" t="str">
            <v>Umer Iqbal</v>
          </cell>
          <cell r="C2568" t="str">
            <v>AJI RENTALS</v>
          </cell>
          <cell r="D2568" t="str">
            <v>Technician</v>
          </cell>
        </row>
        <row r="2569">
          <cell r="A2569" t="str">
            <v>2548695648</v>
          </cell>
          <cell r="B2569" t="str">
            <v>Umer Muhammad</v>
          </cell>
          <cell r="C2569" t="str">
            <v>ELITE HEART</v>
          </cell>
          <cell r="D2569" t="str">
            <v>Carpenter</v>
          </cell>
        </row>
        <row r="2570">
          <cell r="A2570" t="str">
            <v>2579114741</v>
          </cell>
          <cell r="B2570" t="str">
            <v>Umer Rahman</v>
          </cell>
          <cell r="C2570" t="str">
            <v>ELITE HEART</v>
          </cell>
          <cell r="D2570" t="str">
            <v>Carpenter</v>
          </cell>
        </row>
        <row r="2571">
          <cell r="A2571" t="str">
            <v>2600354308</v>
          </cell>
          <cell r="B2571" t="str">
            <v>Umer Rahman</v>
          </cell>
          <cell r="C2571" t="str">
            <v>BUILDING ROOTS</v>
          </cell>
          <cell r="D2571" t="str">
            <v>Labour</v>
          </cell>
        </row>
        <row r="2572">
          <cell r="A2572" t="str">
            <v>2576388272</v>
          </cell>
          <cell r="B2572" t="str">
            <v>Umer Zada</v>
          </cell>
          <cell r="C2572" t="str">
            <v>BUILDING ROOTS</v>
          </cell>
          <cell r="D2572" t="str">
            <v>Carpenter</v>
          </cell>
        </row>
        <row r="2573">
          <cell r="A2573" t="str">
            <v>2562642773</v>
          </cell>
          <cell r="B2573" t="str">
            <v>Umer Zada</v>
          </cell>
          <cell r="C2573" t="str">
            <v>ELITE HEART</v>
          </cell>
          <cell r="D2573" t="str">
            <v>Steel Fixer</v>
          </cell>
        </row>
        <row r="2574">
          <cell r="A2574" t="str">
            <v>2634412478</v>
          </cell>
          <cell r="B2574" t="str">
            <v>Umer zada</v>
          </cell>
          <cell r="C2574" t="str">
            <v>UNITED GULF</v>
          </cell>
          <cell r="D2574" t="str">
            <v>Crane Operator</v>
          </cell>
        </row>
        <row r="2575">
          <cell r="A2575" t="str">
            <v>2532289390</v>
          </cell>
          <cell r="B2575" t="str">
            <v>Umera Khan</v>
          </cell>
          <cell r="C2575" t="str">
            <v>BUILDING ROOTS</v>
          </cell>
          <cell r="D2575" t="str">
            <v>Wheel Loeder Operator</v>
          </cell>
        </row>
        <row r="2576">
          <cell r="A2576" t="str">
            <v>2501538009</v>
          </cell>
          <cell r="B2576" t="str">
            <v>Umesh mahato</v>
          </cell>
          <cell r="C2576" t="str">
            <v>PRAINSA</v>
          </cell>
          <cell r="D2576" t="str">
            <v>labor</v>
          </cell>
        </row>
        <row r="2577">
          <cell r="A2577" t="str">
            <v>2534635137</v>
          </cell>
          <cell r="B2577" t="str">
            <v>Umran Ullah</v>
          </cell>
          <cell r="C2577" t="str">
            <v>BUILDING ROOTS</v>
          </cell>
          <cell r="D2577" t="str">
            <v>Labour</v>
          </cell>
        </row>
        <row r="2578">
          <cell r="A2578" t="str">
            <v>2532150006</v>
          </cell>
          <cell r="B2578" t="str">
            <v>Usama</v>
          </cell>
          <cell r="C2578" t="str">
            <v>ALMABANI CONT.</v>
          </cell>
          <cell r="D2578" t="str">
            <v>Electrician</v>
          </cell>
        </row>
        <row r="2579">
          <cell r="A2579" t="str">
            <v>2632777583</v>
          </cell>
          <cell r="B2579" t="str">
            <v>Usama Khan</v>
          </cell>
          <cell r="C2579" t="str">
            <v>GLOBAL CASTLES</v>
          </cell>
          <cell r="D2579" t="str">
            <v>Steel Fixer</v>
          </cell>
        </row>
        <row r="2580">
          <cell r="A2580" t="str">
            <v>2354347870</v>
          </cell>
          <cell r="B2580" t="str">
            <v>Usama Shahid Butt</v>
          </cell>
          <cell r="C2580" t="str">
            <v>BOUYGUES CONST.</v>
          </cell>
          <cell r="D2580" t="str">
            <v>Hse Officer</v>
          </cell>
        </row>
        <row r="2581">
          <cell r="A2581" t="str">
            <v>2561670072</v>
          </cell>
          <cell r="B2581" t="str">
            <v>Usama siddique</v>
          </cell>
          <cell r="C2581" t="str">
            <v>BUILDING ROOTS</v>
          </cell>
          <cell r="D2581" t="str">
            <v>Steel Fixer</v>
          </cell>
        </row>
        <row r="2582">
          <cell r="A2582" t="str">
            <v>2561426129</v>
          </cell>
          <cell r="B2582" t="str">
            <v>Usman</v>
          </cell>
          <cell r="C2582" t="str">
            <v>BUILDING ROOTS</v>
          </cell>
          <cell r="D2582" t="str">
            <v>Steel Fixer</v>
          </cell>
        </row>
        <row r="2583">
          <cell r="A2583" t="str">
            <v>2565125131</v>
          </cell>
          <cell r="B2583" t="str">
            <v>Usman</v>
          </cell>
          <cell r="C2583" t="str">
            <v>BUILDING ROOTS</v>
          </cell>
          <cell r="D2583" t="str">
            <v>Steel Fixer</v>
          </cell>
        </row>
        <row r="2584">
          <cell r="A2584" t="str">
            <v>2520189131</v>
          </cell>
          <cell r="B2584" t="str">
            <v>Usman</v>
          </cell>
          <cell r="C2584" t="str">
            <v>SAUDI BAUER</v>
          </cell>
          <cell r="D2584" t="str">
            <v>Welder</v>
          </cell>
        </row>
        <row r="2585">
          <cell r="A2585" t="str">
            <v>2407455068</v>
          </cell>
          <cell r="B2585" t="str">
            <v>Usman Afzal</v>
          </cell>
          <cell r="C2585" t="str">
            <v>ELITE HEART</v>
          </cell>
          <cell r="D2585" t="str">
            <v>Steel Fixer</v>
          </cell>
        </row>
        <row r="2586">
          <cell r="A2586" t="str">
            <v>2603066909</v>
          </cell>
          <cell r="B2586" t="str">
            <v>Usman Gani</v>
          </cell>
          <cell r="C2586" t="str">
            <v>BUILDING ROOTS</v>
          </cell>
          <cell r="D2586" t="str">
            <v>Skid Loeder</v>
          </cell>
        </row>
        <row r="2587">
          <cell r="A2587" t="str">
            <v>2538586609</v>
          </cell>
          <cell r="B2587" t="str">
            <v>Usman Ghani</v>
          </cell>
          <cell r="C2587" t="str">
            <v>BUILDING ROOTS</v>
          </cell>
          <cell r="D2587" t="str">
            <v>Steel Fixer</v>
          </cell>
        </row>
        <row r="2588">
          <cell r="A2588" t="str">
            <v>2588621397</v>
          </cell>
          <cell r="B2588" t="str">
            <v>Usman Ghani</v>
          </cell>
          <cell r="C2588" t="str">
            <v>BUILDING ROOTS</v>
          </cell>
          <cell r="D2588" t="str">
            <v>Steel Fixer</v>
          </cell>
        </row>
        <row r="2589">
          <cell r="A2589" t="str">
            <v>2441552940</v>
          </cell>
          <cell r="B2589" t="str">
            <v>Usman Haider</v>
          </cell>
          <cell r="C2589" t="str">
            <v>BUILDING ROOTS</v>
          </cell>
          <cell r="D2589" t="str">
            <v>Steel Fixer</v>
          </cell>
        </row>
        <row r="2590">
          <cell r="A2590" t="str">
            <v>2536878636</v>
          </cell>
          <cell r="B2590" t="str">
            <v>Usman Irshad</v>
          </cell>
          <cell r="C2590" t="str">
            <v>SAUDI BAUER</v>
          </cell>
          <cell r="D2590" t="str">
            <v>Helper</v>
          </cell>
        </row>
        <row r="2591">
          <cell r="A2591" t="str">
            <v>2558871774</v>
          </cell>
          <cell r="B2591" t="str">
            <v>Usman Khan</v>
          </cell>
          <cell r="C2591" t="str">
            <v>BUILDING ROOTS</v>
          </cell>
          <cell r="D2591" t="str">
            <v>Labour</v>
          </cell>
        </row>
        <row r="2592">
          <cell r="A2592" t="str">
            <v>2594208122</v>
          </cell>
          <cell r="B2592" t="str">
            <v>Usman Nazir</v>
          </cell>
          <cell r="C2592" t="str">
            <v>BUILDING ROOTS</v>
          </cell>
          <cell r="D2592" t="str">
            <v>Steel Fixer</v>
          </cell>
        </row>
        <row r="2593">
          <cell r="A2593" t="str">
            <v>2531480792</v>
          </cell>
          <cell r="B2593" t="str">
            <v>Usman Rahim</v>
          </cell>
          <cell r="C2593" t="str">
            <v>GLOBAL CASTLES</v>
          </cell>
          <cell r="D2593" t="str">
            <v>Carpenter</v>
          </cell>
        </row>
        <row r="2594">
          <cell r="A2594" t="str">
            <v>2629467339</v>
          </cell>
          <cell r="B2594" t="str">
            <v>Usman Rahim</v>
          </cell>
          <cell r="C2594" t="str">
            <v>GLOBAL CASTLES</v>
          </cell>
          <cell r="D2594" t="str">
            <v>Carpenter</v>
          </cell>
        </row>
        <row r="2595">
          <cell r="A2595" t="str">
            <v>2612396859</v>
          </cell>
          <cell r="B2595" t="str">
            <v>Uzair Ali</v>
          </cell>
          <cell r="C2595" t="str">
            <v>ELITE HEART</v>
          </cell>
          <cell r="D2595" t="str">
            <v>Surveyor Helper</v>
          </cell>
        </row>
        <row r="2596">
          <cell r="A2596" t="str">
            <v>2265152674</v>
          </cell>
          <cell r="B2596" t="str">
            <v>Vicente</v>
          </cell>
          <cell r="C2596" t="str">
            <v>ALMABANI CONT.</v>
          </cell>
          <cell r="D2596" t="str">
            <v>Electrician</v>
          </cell>
        </row>
        <row r="2597">
          <cell r="A2597" t="str">
            <v>2561292455</v>
          </cell>
          <cell r="B2597" t="str">
            <v>Vignesh</v>
          </cell>
          <cell r="C2597" t="str">
            <v>ALMABANI CONT.</v>
          </cell>
          <cell r="D2597" t="str">
            <v>supervisor</v>
          </cell>
        </row>
        <row r="2598">
          <cell r="A2598" t="str">
            <v>2531807143</v>
          </cell>
          <cell r="B2598" t="str">
            <v>Vijith Chandroil</v>
          </cell>
          <cell r="C2598" t="str">
            <v>SAUDI BAUER</v>
          </cell>
          <cell r="D2598" t="str">
            <v>Technician</v>
          </cell>
        </row>
        <row r="2599">
          <cell r="A2599" t="str">
            <v>2439623741</v>
          </cell>
          <cell r="B2599" t="str">
            <v>Vijy Kanta</v>
          </cell>
          <cell r="C2599" t="str">
            <v>UNITED</v>
          </cell>
          <cell r="D2599" t="str">
            <v>Loeder Operator</v>
          </cell>
        </row>
        <row r="2600">
          <cell r="A2600" t="str">
            <v>2324669072</v>
          </cell>
          <cell r="B2600" t="str">
            <v>Virgilio Tomas</v>
          </cell>
          <cell r="C2600" t="str">
            <v>ALMABANI CONT.</v>
          </cell>
          <cell r="D2600" t="str">
            <v>C/H Civil</v>
          </cell>
        </row>
        <row r="2601">
          <cell r="A2601" t="str">
            <v>2549117220</v>
          </cell>
          <cell r="B2601" t="str">
            <v>Wadeea Gamil</v>
          </cell>
          <cell r="C2601" t="str">
            <v>ELITE HEART</v>
          </cell>
          <cell r="D2601" t="str">
            <v>Dump Truck Driver</v>
          </cell>
        </row>
        <row r="2602">
          <cell r="A2602" t="str">
            <v>2563135272</v>
          </cell>
          <cell r="B2602" t="str">
            <v>Wadhah Esmail</v>
          </cell>
          <cell r="C2602" t="str">
            <v>BUILDING ROOTS</v>
          </cell>
          <cell r="D2602" t="str">
            <v>Carpenter</v>
          </cell>
        </row>
        <row r="2603">
          <cell r="A2603" t="str">
            <v>2510578715</v>
          </cell>
          <cell r="B2603" t="str">
            <v>Wadud Miah</v>
          </cell>
          <cell r="C2603" t="str">
            <v>BUILDING ROOTS</v>
          </cell>
          <cell r="D2603" t="str">
            <v>Scaffolder</v>
          </cell>
        </row>
        <row r="2604">
          <cell r="A2604" t="str">
            <v>2546148442</v>
          </cell>
          <cell r="B2604" t="str">
            <v>Wahab Ali</v>
          </cell>
          <cell r="C2604" t="str">
            <v>BUILDING ROOTS</v>
          </cell>
          <cell r="D2604" t="str">
            <v>Carpenter</v>
          </cell>
        </row>
        <row r="2605">
          <cell r="A2605" t="str">
            <v>2598141808</v>
          </cell>
          <cell r="B2605" t="str">
            <v>Waheed</v>
          </cell>
          <cell r="C2605" t="str">
            <v>ELITE HEART</v>
          </cell>
          <cell r="D2605" t="str">
            <v>Steel Fixer</v>
          </cell>
        </row>
        <row r="2606">
          <cell r="A2606" t="str">
            <v>2522208798</v>
          </cell>
          <cell r="B2606" t="str">
            <v>Waheed</v>
          </cell>
          <cell r="C2606" t="str">
            <v>Cretec</v>
          </cell>
          <cell r="D2606" t="str">
            <v>Firewatcher</v>
          </cell>
        </row>
        <row r="2607">
          <cell r="A2607" t="str">
            <v>2604918629</v>
          </cell>
          <cell r="B2607" t="str">
            <v>Waheed Khan</v>
          </cell>
          <cell r="C2607" t="str">
            <v>ELITE HEART</v>
          </cell>
          <cell r="D2607" t="str">
            <v>Helper</v>
          </cell>
        </row>
        <row r="2608">
          <cell r="A2608" t="str">
            <v>2563822726</v>
          </cell>
          <cell r="B2608" t="str">
            <v>Waheed Morad Khan</v>
          </cell>
          <cell r="C2608" t="str">
            <v>BUILDING ROOTS</v>
          </cell>
          <cell r="D2608" t="str">
            <v>Labour</v>
          </cell>
        </row>
        <row r="2609">
          <cell r="A2609" t="str">
            <v>2548130836</v>
          </cell>
          <cell r="B2609" t="str">
            <v>Waheed Zaman</v>
          </cell>
          <cell r="C2609" t="str">
            <v>BUILDING ROOTS</v>
          </cell>
          <cell r="D2609" t="str">
            <v>Labour</v>
          </cell>
        </row>
        <row r="2610">
          <cell r="A2610" t="str">
            <v>2596067120</v>
          </cell>
          <cell r="B2610" t="str">
            <v>Wahid Khan</v>
          </cell>
          <cell r="C2610" t="str">
            <v>SAUDI BAUER</v>
          </cell>
          <cell r="D2610" t="str">
            <v>Helper</v>
          </cell>
        </row>
        <row r="2611">
          <cell r="A2611" t="str">
            <v>2569772110</v>
          </cell>
          <cell r="B2611" t="str">
            <v>Wahid Rahman</v>
          </cell>
          <cell r="C2611" t="str">
            <v>BUILDING ROOTS</v>
          </cell>
          <cell r="D2611" t="str">
            <v>Carpenter</v>
          </cell>
        </row>
        <row r="2612">
          <cell r="A2612" t="str">
            <v>2533305059</v>
          </cell>
          <cell r="B2612" t="str">
            <v>Waho Azkhan</v>
          </cell>
          <cell r="C2612" t="str">
            <v>GLOBAL CASTLES</v>
          </cell>
          <cell r="D2612" t="str">
            <v>Carpenter</v>
          </cell>
        </row>
        <row r="2613">
          <cell r="A2613" t="str">
            <v>2531099725</v>
          </cell>
          <cell r="B2613" t="str">
            <v>Wail Nabil</v>
          </cell>
          <cell r="C2613" t="str">
            <v>BUILDING ROOTS</v>
          </cell>
          <cell r="D2613" t="str">
            <v>Carpenter</v>
          </cell>
        </row>
        <row r="2614">
          <cell r="A2614" t="str">
            <v>2577718105</v>
          </cell>
          <cell r="B2614" t="str">
            <v>Waiz</v>
          </cell>
          <cell r="C2614" t="str">
            <v>SAUDI BAUER</v>
          </cell>
          <cell r="D2614" t="str">
            <v>Qc Engineer</v>
          </cell>
        </row>
        <row r="2615">
          <cell r="A2615" t="str">
            <v>2569853532</v>
          </cell>
          <cell r="B2615" t="str">
            <v>Wajed</v>
          </cell>
          <cell r="C2615" t="str">
            <v>SAUDI ENVIROZONE</v>
          </cell>
          <cell r="D2615" t="str">
            <v>Helper</v>
          </cell>
        </row>
        <row r="2616">
          <cell r="A2616" t="str">
            <v>2556013346</v>
          </cell>
          <cell r="B2616" t="str">
            <v>Wajid</v>
          </cell>
          <cell r="C2616" t="str">
            <v>TAMIMI</v>
          </cell>
          <cell r="D2616" t="str">
            <v>Plumber</v>
          </cell>
        </row>
        <row r="2617">
          <cell r="A2617" t="str">
            <v>2592835181</v>
          </cell>
          <cell r="B2617" t="str">
            <v>Wajid Ahmed</v>
          </cell>
          <cell r="C2617" t="str">
            <v>ELITE HEART</v>
          </cell>
          <cell r="D2617" t="str">
            <v>Scaffolder</v>
          </cell>
        </row>
        <row r="2618">
          <cell r="A2618" t="str">
            <v>2606805622</v>
          </cell>
          <cell r="B2618" t="str">
            <v>Wajid Ali</v>
          </cell>
          <cell r="C2618" t="str">
            <v>ELITE HEART</v>
          </cell>
          <cell r="D2618" t="str">
            <v>Scaffolder</v>
          </cell>
        </row>
        <row r="2619">
          <cell r="A2619" t="str">
            <v>2623891633</v>
          </cell>
          <cell r="B2619" t="str">
            <v>Wajid Shah</v>
          </cell>
          <cell r="C2619" t="str">
            <v>ELITE HEART</v>
          </cell>
          <cell r="D2619" t="str">
            <v>Safety Helper</v>
          </cell>
        </row>
        <row r="2620">
          <cell r="A2620" t="str">
            <v>2614980593</v>
          </cell>
          <cell r="B2620" t="str">
            <v>Waleed Ahmad</v>
          </cell>
          <cell r="C2620" t="str">
            <v>ELITE HEART</v>
          </cell>
          <cell r="D2620" t="str">
            <v>Labour</v>
          </cell>
        </row>
        <row r="2621">
          <cell r="A2621" t="str">
            <v>2319793549</v>
          </cell>
          <cell r="B2621" t="str">
            <v>Waleed Muhammad Ghaleb</v>
          </cell>
          <cell r="C2621" t="str">
            <v>BUILDING ROOTS</v>
          </cell>
          <cell r="D2621" t="str">
            <v>Carpenter</v>
          </cell>
        </row>
        <row r="2622">
          <cell r="A2622" t="str">
            <v>2578398238</v>
          </cell>
          <cell r="B2622" t="str">
            <v>Wali Khan</v>
          </cell>
          <cell r="C2622" t="str">
            <v>ELITE HEART</v>
          </cell>
          <cell r="D2622" t="str">
            <v>Flag Man</v>
          </cell>
        </row>
        <row r="2623">
          <cell r="A2623" t="str">
            <v>2588680518</v>
          </cell>
          <cell r="B2623" t="str">
            <v>Wali Ullah</v>
          </cell>
          <cell r="C2623" t="str">
            <v>BUILDING ROOTS</v>
          </cell>
          <cell r="D2623" t="str">
            <v>Steel Fixer</v>
          </cell>
        </row>
        <row r="2624">
          <cell r="A2624" t="str">
            <v>2478603691</v>
          </cell>
          <cell r="B2624" t="str">
            <v>Walid Hayek</v>
          </cell>
          <cell r="C2624" t="str">
            <v>ALMABANI CONT.</v>
          </cell>
          <cell r="D2624" t="str">
            <v>Senior Manager</v>
          </cell>
        </row>
        <row r="2625">
          <cell r="A2625" t="str">
            <v>2521216537</v>
          </cell>
          <cell r="B2625" t="str">
            <v>Waliullah</v>
          </cell>
          <cell r="C2625" t="str">
            <v>ELITE HEART</v>
          </cell>
          <cell r="D2625" t="str">
            <v>-</v>
          </cell>
        </row>
        <row r="2626">
          <cell r="A2626" t="str">
            <v>2608452500</v>
          </cell>
          <cell r="B2626" t="str">
            <v>Waqab Ahmed</v>
          </cell>
          <cell r="C2626" t="str">
            <v>BUILDING ROOTS</v>
          </cell>
          <cell r="D2626" t="str">
            <v>Steel Fixer</v>
          </cell>
        </row>
        <row r="2627">
          <cell r="A2627" t="str">
            <v>2617947326</v>
          </cell>
          <cell r="B2627" t="str">
            <v>Waqar</v>
          </cell>
          <cell r="C2627" t="str">
            <v>BUILDING ROOTS</v>
          </cell>
          <cell r="D2627" t="str">
            <v>Carpenter</v>
          </cell>
        </row>
        <row r="2628">
          <cell r="A2628" t="str">
            <v>2593894781</v>
          </cell>
          <cell r="B2628" t="str">
            <v>Waqar Basharat</v>
          </cell>
          <cell r="C2628" t="str">
            <v>GLOBAL CASTLES</v>
          </cell>
          <cell r="D2628" t="str">
            <v>Plumber</v>
          </cell>
        </row>
        <row r="2629">
          <cell r="A2629" t="str">
            <v>2365810338</v>
          </cell>
          <cell r="B2629" t="str">
            <v>Waqas</v>
          </cell>
          <cell r="C2629" t="str">
            <v>ELITE HEART</v>
          </cell>
          <cell r="D2629" t="str">
            <v>Steel Fixer</v>
          </cell>
        </row>
        <row r="2630">
          <cell r="A2630" t="str">
            <v>2533132912</v>
          </cell>
          <cell r="B2630" t="str">
            <v>Waqas Anjum</v>
          </cell>
          <cell r="C2630" t="str">
            <v>ELITE HEART</v>
          </cell>
          <cell r="D2630" t="str">
            <v>Operator</v>
          </cell>
        </row>
        <row r="2631">
          <cell r="A2631" t="str">
            <v>2619319466</v>
          </cell>
          <cell r="B2631" t="str">
            <v>Waqas Gaffar</v>
          </cell>
          <cell r="C2631" t="str">
            <v>BUILDING ROOTS</v>
          </cell>
          <cell r="D2631" t="str">
            <v>Labour</v>
          </cell>
        </row>
        <row r="2632">
          <cell r="A2632" t="str">
            <v>2576198853</v>
          </cell>
          <cell r="B2632" t="str">
            <v>Waqas Hussain</v>
          </cell>
          <cell r="C2632" t="str">
            <v>BUILDING ROOTS</v>
          </cell>
          <cell r="D2632" t="str">
            <v>Steel Fixer</v>
          </cell>
        </row>
        <row r="2633">
          <cell r="A2633" t="str">
            <v>2586502482</v>
          </cell>
          <cell r="B2633" t="str">
            <v>Waqas Khan</v>
          </cell>
          <cell r="C2633" t="str">
            <v>BUILDING ROOTS</v>
          </cell>
          <cell r="D2633" t="str">
            <v>Labour</v>
          </cell>
        </row>
        <row r="2634">
          <cell r="A2634" t="str">
            <v>2602829869</v>
          </cell>
          <cell r="B2634" t="str">
            <v>Waseef Khan</v>
          </cell>
          <cell r="C2634" t="str">
            <v>BUILDING ROOTS</v>
          </cell>
          <cell r="D2634" t="str">
            <v>Steel Fixer</v>
          </cell>
        </row>
        <row r="2635">
          <cell r="A2635" t="str">
            <v>2603008620</v>
          </cell>
          <cell r="B2635" t="str">
            <v>Waseem</v>
          </cell>
          <cell r="C2635" t="str">
            <v>BUILDING ROOTS</v>
          </cell>
          <cell r="D2635" t="str">
            <v>Helper</v>
          </cell>
        </row>
        <row r="2636">
          <cell r="A2636" t="str">
            <v>2591378787</v>
          </cell>
          <cell r="B2636" t="str">
            <v>Waseem</v>
          </cell>
          <cell r="C2636" t="str">
            <v>BUILDING ROOTS</v>
          </cell>
          <cell r="D2636" t="str">
            <v>Qc Inspector</v>
          </cell>
        </row>
        <row r="2637">
          <cell r="A2637" t="str">
            <v>2530493349</v>
          </cell>
          <cell r="B2637" t="str">
            <v>Waseem Ahmed</v>
          </cell>
          <cell r="C2637" t="str">
            <v>PERI SAUDI</v>
          </cell>
          <cell r="D2637" t="str">
            <v>Formwork Engineer</v>
          </cell>
        </row>
        <row r="2638">
          <cell r="A2638" t="str">
            <v>2446942381</v>
          </cell>
          <cell r="B2638" t="str">
            <v>Waseem Mohammed</v>
          </cell>
          <cell r="C2638" t="str">
            <v>GULF MARK</v>
          </cell>
          <cell r="D2638" t="str">
            <v>Bucket Operator</v>
          </cell>
        </row>
        <row r="2639">
          <cell r="A2639" t="str">
            <v>2621281498</v>
          </cell>
          <cell r="B2639" t="str">
            <v>Wasgter Ali</v>
          </cell>
          <cell r="C2639" t="str">
            <v>ALMABANI CONT.</v>
          </cell>
          <cell r="D2639" t="str">
            <v>Steel Fixer</v>
          </cell>
        </row>
        <row r="2640">
          <cell r="A2640" t="str">
            <v>2285747289</v>
          </cell>
          <cell r="B2640" t="str">
            <v>Wasif</v>
          </cell>
          <cell r="C2640" t="str">
            <v>BUILDING ROOTS</v>
          </cell>
          <cell r="D2640" t="str">
            <v>Steel Fixer</v>
          </cell>
        </row>
        <row r="2641">
          <cell r="A2641" t="str">
            <v>2538613635</v>
          </cell>
          <cell r="B2641" t="str">
            <v>Wasif Khan</v>
          </cell>
          <cell r="C2641" t="str">
            <v>BUILDING ROOTS</v>
          </cell>
          <cell r="D2641" t="str">
            <v>Steel Fixer</v>
          </cell>
        </row>
        <row r="2642">
          <cell r="A2642" t="str">
            <v>2610863942</v>
          </cell>
          <cell r="B2642" t="str">
            <v>Wasif Ullah</v>
          </cell>
          <cell r="C2642" t="str">
            <v>BUILDING ROOTS</v>
          </cell>
          <cell r="D2642" t="str">
            <v>Steel Fixer</v>
          </cell>
        </row>
        <row r="2643">
          <cell r="A2643" t="str">
            <v>2527949701</v>
          </cell>
          <cell r="B2643" t="str">
            <v>Wasim Mohammed</v>
          </cell>
          <cell r="C2643" t="str">
            <v>BUILDING ROOTS</v>
          </cell>
          <cell r="D2643" t="str">
            <v>Carpenter</v>
          </cell>
        </row>
        <row r="2644">
          <cell r="A2644" t="str">
            <v>2511176840</v>
          </cell>
          <cell r="B2644" t="str">
            <v>Wazeer</v>
          </cell>
          <cell r="C2644" t="str">
            <v>BUILDING ROOTS</v>
          </cell>
          <cell r="D2644" t="str">
            <v>Steel Fixer</v>
          </cell>
        </row>
        <row r="2645">
          <cell r="A2645" t="str">
            <v>2609053091</v>
          </cell>
          <cell r="B2645" t="str">
            <v>Wazir Hossain</v>
          </cell>
          <cell r="C2645" t="str">
            <v>BUILDING ROOTS</v>
          </cell>
          <cell r="D2645" t="str">
            <v>Carpenter</v>
          </cell>
        </row>
        <row r="2646">
          <cell r="A2646" t="str">
            <v>2510340074</v>
          </cell>
          <cell r="B2646" t="str">
            <v>Wazir Zada</v>
          </cell>
          <cell r="C2646" t="str">
            <v>BUILDING ROOTS</v>
          </cell>
          <cell r="D2646" t="str">
            <v>Labour</v>
          </cell>
        </row>
        <row r="2647">
          <cell r="A2647" t="str">
            <v>2579341054</v>
          </cell>
          <cell r="B2647" t="str">
            <v>Wazir zada</v>
          </cell>
          <cell r="C2647" t="str">
            <v>BUILDING ROOTS</v>
          </cell>
          <cell r="D2647" t="str">
            <v>Steel Fixer</v>
          </cell>
        </row>
        <row r="2648">
          <cell r="A2648" t="str">
            <v>2569304096</v>
          </cell>
          <cell r="B2648" t="str">
            <v>Whitgrouse</v>
          </cell>
          <cell r="C2648" t="str">
            <v>POPULOUS</v>
          </cell>
          <cell r="D2648" t="str">
            <v>Principal</v>
          </cell>
        </row>
        <row r="2649">
          <cell r="A2649" t="str">
            <v>2579971298</v>
          </cell>
          <cell r="B2649" t="str">
            <v>Yahya</v>
          </cell>
          <cell r="C2649" t="str">
            <v>NOUR AL HADAF</v>
          </cell>
          <cell r="D2649" t="str">
            <v>Painter</v>
          </cell>
        </row>
        <row r="2650">
          <cell r="A2650" t="str">
            <v>1097503963</v>
          </cell>
          <cell r="B2650" t="str">
            <v>Yahya Hakai</v>
          </cell>
          <cell r="C2650" t="str">
            <v>BUILDING ROOTS</v>
          </cell>
          <cell r="D2650" t="str">
            <v>Hse Manager</v>
          </cell>
        </row>
        <row r="2651">
          <cell r="A2651" t="str">
            <v>2495086759</v>
          </cell>
          <cell r="B2651" t="str">
            <v>Yahya Mohamed</v>
          </cell>
          <cell r="C2651" t="str">
            <v>NOUR AL HADAF</v>
          </cell>
          <cell r="D2651" t="str">
            <v>Supervisor</v>
          </cell>
        </row>
        <row r="2652">
          <cell r="A2652" t="str">
            <v>2628010551</v>
          </cell>
          <cell r="B2652" t="str">
            <v>Yahya Salah</v>
          </cell>
          <cell r="C2652" t="str">
            <v>BUILDING ROOTS</v>
          </cell>
          <cell r="D2652" t="str">
            <v>Carpenter</v>
          </cell>
        </row>
        <row r="2653">
          <cell r="A2653" t="str">
            <v>2614500201</v>
          </cell>
          <cell r="B2653" t="str">
            <v>Yahya khan</v>
          </cell>
          <cell r="C2653" t="str">
            <v>GLOBAL CASTLE</v>
          </cell>
          <cell r="D2653" t="str">
            <v>rigger</v>
          </cell>
        </row>
        <row r="2654">
          <cell r="A2654" t="str">
            <v>2551501865</v>
          </cell>
          <cell r="B2654" t="str">
            <v>Yang Qiu</v>
          </cell>
          <cell r="C2654" t="str">
            <v>JV (BBI-AGC)</v>
          </cell>
          <cell r="D2654" t="str">
            <v>Concrete Pump Operator</v>
          </cell>
        </row>
        <row r="2655">
          <cell r="A2655" t="str">
            <v>2572975460</v>
          </cell>
          <cell r="B2655" t="str">
            <v>Yaqoob</v>
          </cell>
          <cell r="C2655" t="str">
            <v>BUILDING ROOTS</v>
          </cell>
          <cell r="D2655" t="str">
            <v>Steel Fixer</v>
          </cell>
        </row>
        <row r="2656">
          <cell r="A2656" t="str">
            <v>2283947410</v>
          </cell>
          <cell r="B2656" t="str">
            <v>Yaqoob</v>
          </cell>
          <cell r="C2656" t="str">
            <v>ALMABANI CONT.</v>
          </cell>
          <cell r="D2656" t="str">
            <v>Timekeeper</v>
          </cell>
        </row>
        <row r="2657">
          <cell r="A2657" t="str">
            <v>2506645536</v>
          </cell>
          <cell r="B2657" t="str">
            <v>Yaseen</v>
          </cell>
          <cell r="C2657" t="str">
            <v>ELITE HEART</v>
          </cell>
          <cell r="D2657" t="str">
            <v>Labour</v>
          </cell>
        </row>
        <row r="2658">
          <cell r="A2658" t="str">
            <v>2281031688</v>
          </cell>
          <cell r="B2658" t="str">
            <v>Yaseen Abdullah</v>
          </cell>
          <cell r="C2658" t="str">
            <v>BUILDING ROOTS</v>
          </cell>
          <cell r="D2658" t="str">
            <v>Carpenter</v>
          </cell>
        </row>
        <row r="2659">
          <cell r="A2659" t="str">
            <v>2551207034</v>
          </cell>
          <cell r="B2659" t="str">
            <v>Yaseen saleh</v>
          </cell>
          <cell r="C2659" t="str">
            <v>JV Rental</v>
          </cell>
          <cell r="D2659" t="str">
            <v>Driver</v>
          </cell>
        </row>
        <row r="2660">
          <cell r="A2660" t="str">
            <v>253535826</v>
          </cell>
          <cell r="B2660" t="str">
            <v>Yaser Ali</v>
          </cell>
          <cell r="C2660" t="str">
            <v>ELITE HEART</v>
          </cell>
          <cell r="D2660" t="str">
            <v>Driver</v>
          </cell>
        </row>
        <row r="2661">
          <cell r="A2661" t="str">
            <v>2526147315</v>
          </cell>
          <cell r="B2661" t="str">
            <v>Yaser Faisal</v>
          </cell>
          <cell r="C2661" t="str">
            <v>ELITE HEART</v>
          </cell>
          <cell r="D2661" t="str">
            <v>Driver</v>
          </cell>
        </row>
        <row r="2662">
          <cell r="A2662" t="str">
            <v>2605867833</v>
          </cell>
          <cell r="B2662" t="str">
            <v>Yaser Khan</v>
          </cell>
          <cell r="C2662" t="str">
            <v>BUILDING ROOTS</v>
          </cell>
          <cell r="D2662" t="str">
            <v>Qc Engineer</v>
          </cell>
        </row>
        <row r="2663">
          <cell r="A2663" t="str">
            <v>2616998775</v>
          </cell>
          <cell r="B2663" t="str">
            <v>Yashi Mahmood</v>
          </cell>
          <cell r="C2663" t="str">
            <v>BUILDING ROOTS</v>
          </cell>
          <cell r="D2663" t="str">
            <v>Steel Fixer</v>
          </cell>
        </row>
        <row r="2664">
          <cell r="A2664" t="str">
            <v>2376275885</v>
          </cell>
          <cell r="B2664" t="str">
            <v>Yasir</v>
          </cell>
          <cell r="C2664" t="str">
            <v>TAMIMI</v>
          </cell>
          <cell r="D2664" t="str">
            <v>Supervisor</v>
          </cell>
        </row>
        <row r="2665">
          <cell r="A2665" t="str">
            <v>2557055262</v>
          </cell>
          <cell r="B2665" t="str">
            <v>Yasir</v>
          </cell>
          <cell r="C2665" t="str">
            <v>SAUDI BAUER</v>
          </cell>
          <cell r="D2665" t="str">
            <v>Rigger</v>
          </cell>
        </row>
        <row r="2666">
          <cell r="A2666" t="str">
            <v>2297763670</v>
          </cell>
          <cell r="B2666" t="str">
            <v>Yasir</v>
          </cell>
          <cell r="C2666" t="str">
            <v>BUILDING ROOTS</v>
          </cell>
          <cell r="D2666" t="str">
            <v>Foreman Carpenter</v>
          </cell>
        </row>
        <row r="2667">
          <cell r="A2667" t="str">
            <v>1111401566</v>
          </cell>
          <cell r="B2667" t="str">
            <v>Yasir Bin Ali</v>
          </cell>
          <cell r="C2667" t="str">
            <v>ALMABANI CONT.</v>
          </cell>
          <cell r="D2667" t="str">
            <v>Supervisor</v>
          </cell>
        </row>
        <row r="2668">
          <cell r="A2668" t="str">
            <v>2583949322</v>
          </cell>
          <cell r="B2668" t="str">
            <v>Yasir Hasnain</v>
          </cell>
          <cell r="C2668" t="str">
            <v>JV (BBI-AGC)</v>
          </cell>
          <cell r="D2668" t="str">
            <v>Operator</v>
          </cell>
        </row>
        <row r="2669">
          <cell r="A2669" t="str">
            <v>2594911832</v>
          </cell>
          <cell r="B2669" t="str">
            <v>Yasir Shah</v>
          </cell>
          <cell r="C2669" t="str">
            <v>BUILDING ROOTS</v>
          </cell>
          <cell r="D2669" t="str">
            <v>Steel Fixer</v>
          </cell>
        </row>
        <row r="2670">
          <cell r="A2670" t="str">
            <v>2100147020</v>
          </cell>
          <cell r="B2670" t="str">
            <v>Yasir Taha</v>
          </cell>
          <cell r="C2670" t="str">
            <v>BUILDING ROOTS</v>
          </cell>
          <cell r="D2670" t="str">
            <v>Driver</v>
          </cell>
        </row>
        <row r="2671">
          <cell r="A2671" t="str">
            <v>2533863862</v>
          </cell>
          <cell r="B2671" t="str">
            <v>Yasir mehmood</v>
          </cell>
          <cell r="C2671" t="str">
            <v>NFT</v>
          </cell>
          <cell r="D2671" t="str">
            <v>Tower crane operator</v>
          </cell>
        </row>
        <row r="2672">
          <cell r="A2672" t="str">
            <v>2186474868</v>
          </cell>
          <cell r="B2672" t="str">
            <v>Yasser Mohammed</v>
          </cell>
          <cell r="C2672" t="str">
            <v>ELITE HEART</v>
          </cell>
          <cell r="D2672" t="str">
            <v>Foreman</v>
          </cell>
        </row>
        <row r="2673">
          <cell r="A2673" t="str">
            <v>2519465682</v>
          </cell>
          <cell r="B2673" t="str">
            <v>Yassir</v>
          </cell>
          <cell r="C2673" t="str">
            <v>BUILDING ROOTS</v>
          </cell>
          <cell r="D2673" t="str">
            <v>Labor</v>
          </cell>
        </row>
        <row r="2674">
          <cell r="A2674" t="str">
            <v>2448287454</v>
          </cell>
          <cell r="B2674" t="str">
            <v>YeHSEen</v>
          </cell>
          <cell r="C2674" t="str">
            <v>SAUDI BAUER</v>
          </cell>
          <cell r="D2674" t="str">
            <v>Aces Technician</v>
          </cell>
        </row>
        <row r="2675">
          <cell r="A2675" t="str">
            <v>2625807892</v>
          </cell>
          <cell r="B2675" t="str">
            <v>Yeakub Miah</v>
          </cell>
          <cell r="C2675" t="str">
            <v>BUILDING ROOTS</v>
          </cell>
          <cell r="D2675" t="str">
            <v>Labour</v>
          </cell>
        </row>
        <row r="2676">
          <cell r="A2676" t="str">
            <v>2615704901</v>
          </cell>
          <cell r="B2676" t="str">
            <v>Yeamin Islam</v>
          </cell>
          <cell r="C2676" t="str">
            <v>GLOBAL CASTLES</v>
          </cell>
          <cell r="D2676" t="str">
            <v>Labour</v>
          </cell>
        </row>
        <row r="2677">
          <cell r="A2677" t="str">
            <v>2602896941</v>
          </cell>
          <cell r="B2677" t="str">
            <v>Yehia Hossan</v>
          </cell>
          <cell r="C2677" t="str">
            <v>BUILDING ROOTS</v>
          </cell>
          <cell r="D2677" t="str">
            <v>Supervisor</v>
          </cell>
        </row>
        <row r="2678">
          <cell r="A2678" t="str">
            <v>2539585014</v>
          </cell>
          <cell r="B2678" t="str">
            <v>Yhlasgeldi Meredov</v>
          </cell>
          <cell r="C2678" t="str">
            <v>BOUYGUES CONST.</v>
          </cell>
          <cell r="D2678" t="str">
            <v>Pkg Manager</v>
          </cell>
        </row>
        <row r="2679">
          <cell r="A2679" t="str">
            <v>2558475857</v>
          </cell>
          <cell r="B2679" t="str">
            <v>Younes Abdo</v>
          </cell>
          <cell r="C2679" t="str">
            <v>ELITE HEART</v>
          </cell>
          <cell r="D2679" t="str">
            <v>Plumber</v>
          </cell>
        </row>
        <row r="2680">
          <cell r="A2680" t="str">
            <v>2595044906</v>
          </cell>
          <cell r="B2680" t="str">
            <v>Younus</v>
          </cell>
          <cell r="C2680" t="str">
            <v>GLOBAL CASTLES</v>
          </cell>
          <cell r="D2680" t="str">
            <v>Labour</v>
          </cell>
        </row>
        <row r="2681">
          <cell r="A2681" t="str">
            <v>2618401463</v>
          </cell>
          <cell r="B2681" t="str">
            <v>Yousef</v>
          </cell>
          <cell r="C2681" t="str">
            <v>ELITE HEART</v>
          </cell>
          <cell r="D2681" t="str">
            <v>Driver</v>
          </cell>
        </row>
        <row r="2682">
          <cell r="A2682" t="str">
            <v>2554176269</v>
          </cell>
          <cell r="B2682" t="str">
            <v>Yousef Edhah</v>
          </cell>
          <cell r="C2682" t="str">
            <v>GULF MARK</v>
          </cell>
          <cell r="D2682" t="str">
            <v>Driver</v>
          </cell>
        </row>
        <row r="2683">
          <cell r="A2683" t="str">
            <v>2520219912</v>
          </cell>
          <cell r="B2683" t="str">
            <v>Zafar</v>
          </cell>
          <cell r="C2683" t="str">
            <v>ELITE HEART</v>
          </cell>
          <cell r="D2683" t="str">
            <v>Carpenter</v>
          </cell>
        </row>
        <row r="2684">
          <cell r="A2684" t="str">
            <v>2559696014</v>
          </cell>
          <cell r="B2684" t="str">
            <v>Zafar Iqbal</v>
          </cell>
          <cell r="C2684" t="str">
            <v>BUILDING ROOTS</v>
          </cell>
          <cell r="D2684" t="str">
            <v>Steel Fixer</v>
          </cell>
        </row>
        <row r="2685">
          <cell r="A2685" t="str">
            <v>2504961224</v>
          </cell>
          <cell r="B2685" t="str">
            <v>Zafar ali</v>
          </cell>
          <cell r="C2685" t="str">
            <v>BOUYGUES CONS.</v>
          </cell>
          <cell r="D2685" t="str">
            <v>Tower crane operator</v>
          </cell>
        </row>
        <row r="2686">
          <cell r="A2686" t="str">
            <v>6163813475</v>
          </cell>
          <cell r="B2686" t="str">
            <v>Zafeer Aslam</v>
          </cell>
          <cell r="C2686" t="str">
            <v>ELITE HEART</v>
          </cell>
          <cell r="D2686" t="str">
            <v>Steel Fixer</v>
          </cell>
        </row>
        <row r="2687">
          <cell r="A2687" t="str">
            <v>2358457444</v>
          </cell>
          <cell r="B2687" t="str">
            <v>Zaftar Khan</v>
          </cell>
          <cell r="C2687" t="str">
            <v>BUILDING ROOTS</v>
          </cell>
          <cell r="D2687" t="str">
            <v>Steel Fixer</v>
          </cell>
        </row>
        <row r="2688">
          <cell r="A2688" t="str">
            <v>2543505792</v>
          </cell>
          <cell r="B2688" t="str">
            <v>Zaheer</v>
          </cell>
          <cell r="C2688" t="str">
            <v>IDEA AND FLOW</v>
          </cell>
          <cell r="D2688" t="str">
            <v>Carpenter</v>
          </cell>
        </row>
        <row r="2689">
          <cell r="A2689" t="str">
            <v>2440463608</v>
          </cell>
          <cell r="B2689" t="str">
            <v>Zaheer Abbas</v>
          </cell>
          <cell r="C2689" t="str">
            <v>BUILDING ROOTS</v>
          </cell>
          <cell r="D2689" t="str">
            <v>Steel Fixer</v>
          </cell>
        </row>
        <row r="2690">
          <cell r="A2690" t="str">
            <v>2601122027</v>
          </cell>
          <cell r="B2690" t="str">
            <v>Zaher Haider</v>
          </cell>
          <cell r="C2690" t="str">
            <v>BUILDING ROOTS</v>
          </cell>
          <cell r="D2690" t="str">
            <v>Steel Fixer</v>
          </cell>
        </row>
        <row r="2691">
          <cell r="A2691" t="str">
            <v>2606749840</v>
          </cell>
          <cell r="B2691" t="str">
            <v>Zahid Khan</v>
          </cell>
          <cell r="C2691" t="str">
            <v>BUILDING ROOTS</v>
          </cell>
          <cell r="D2691" t="str">
            <v>Carpenter</v>
          </cell>
        </row>
        <row r="2692">
          <cell r="A2692" t="str">
            <v>2632817298</v>
          </cell>
          <cell r="B2692" t="str">
            <v>Zahid Khan</v>
          </cell>
          <cell r="C2692" t="str">
            <v>BUILDING ROOTS</v>
          </cell>
          <cell r="D2692" t="str">
            <v>Steel Fixer</v>
          </cell>
        </row>
        <row r="2693">
          <cell r="A2693" t="str">
            <v>2301162273</v>
          </cell>
          <cell r="B2693" t="str">
            <v>Zahid Muhammad Khan</v>
          </cell>
          <cell r="C2693" t="str">
            <v>BUILDING ROOTS</v>
          </cell>
          <cell r="D2693" t="str">
            <v>Carpenter</v>
          </cell>
        </row>
        <row r="2694">
          <cell r="A2694" t="str">
            <v>2829732568</v>
          </cell>
          <cell r="B2694" t="str">
            <v>Zahid Muneer</v>
          </cell>
          <cell r="C2694" t="str">
            <v>ELITE HEART</v>
          </cell>
          <cell r="D2694" t="str">
            <v>Steel Fixer</v>
          </cell>
        </row>
        <row r="2695">
          <cell r="A2695" t="str">
            <v>2623411028</v>
          </cell>
          <cell r="B2695" t="str">
            <v>Zahid Ullah</v>
          </cell>
          <cell r="C2695" t="str">
            <v>BUILDING ROOTS</v>
          </cell>
          <cell r="D2695" t="str">
            <v>Carpenter</v>
          </cell>
        </row>
        <row r="2696">
          <cell r="A2696" t="str">
            <v>2610927788</v>
          </cell>
          <cell r="B2696" t="str">
            <v>Zahoor Ahmad</v>
          </cell>
          <cell r="C2696" t="str">
            <v>BUILDING ROOTS</v>
          </cell>
          <cell r="D2696" t="str">
            <v>Labour</v>
          </cell>
        </row>
        <row r="2697">
          <cell r="A2697" t="str">
            <v>2617113523</v>
          </cell>
          <cell r="B2697" t="str">
            <v>Zahoor Hussain</v>
          </cell>
          <cell r="C2697" t="str">
            <v>BUILDING ROOTS</v>
          </cell>
          <cell r="D2697" t="str">
            <v>Surveyor Helper</v>
          </cell>
        </row>
        <row r="2698">
          <cell r="A2698" t="str">
            <v>2527306324</v>
          </cell>
          <cell r="B2698" t="str">
            <v>Zahoor Ullah</v>
          </cell>
          <cell r="C2698" t="str">
            <v>BUILDING ROOTS</v>
          </cell>
          <cell r="D2698" t="str">
            <v>Safety Officer</v>
          </cell>
        </row>
        <row r="2699">
          <cell r="A2699" t="str">
            <v>2311003640</v>
          </cell>
          <cell r="B2699" t="str">
            <v>Zaib Ullah</v>
          </cell>
          <cell r="C2699" t="str">
            <v>BUILDING ROOTS</v>
          </cell>
          <cell r="D2699" t="str">
            <v>Supervisor</v>
          </cell>
        </row>
        <row r="2700">
          <cell r="A2700" t="str">
            <v>2581396955</v>
          </cell>
          <cell r="B2700" t="str">
            <v>Zaid Khan</v>
          </cell>
          <cell r="C2700" t="str">
            <v>BUILDING ROOTS</v>
          </cell>
          <cell r="D2700" t="str">
            <v>Steel Fixer</v>
          </cell>
        </row>
        <row r="2701">
          <cell r="A2701" t="str">
            <v>2631191885</v>
          </cell>
          <cell r="B2701" t="str">
            <v>Zain</v>
          </cell>
          <cell r="C2701" t="str">
            <v>BUILDING ROOTS</v>
          </cell>
          <cell r="D2701" t="str">
            <v>Labor</v>
          </cell>
        </row>
        <row r="2702">
          <cell r="A2702" t="str">
            <v>2584086025</v>
          </cell>
          <cell r="B2702" t="str">
            <v>Zain Ali</v>
          </cell>
          <cell r="C2702" t="str">
            <v>BUILDING ROOTS</v>
          </cell>
          <cell r="D2702" t="str">
            <v>Steel Fixer</v>
          </cell>
        </row>
        <row r="2703">
          <cell r="A2703" t="str">
            <v>2627232792</v>
          </cell>
          <cell r="B2703" t="str">
            <v>Zain Shah</v>
          </cell>
          <cell r="C2703" t="str">
            <v>GLOBAL CASTLES</v>
          </cell>
          <cell r="D2703" t="str">
            <v>Carpenter</v>
          </cell>
        </row>
        <row r="2704">
          <cell r="A2704" t="str">
            <v>2618810879</v>
          </cell>
          <cell r="B2704" t="str">
            <v>Zain ali</v>
          </cell>
          <cell r="C2704" t="str">
            <v>BUILDING ROOTS</v>
          </cell>
          <cell r="D2704" t="str">
            <v>Steel Fixer</v>
          </cell>
        </row>
        <row r="2705">
          <cell r="A2705" t="str">
            <v>2529626729</v>
          </cell>
          <cell r="B2705" t="str">
            <v>Zaka Ur Rehman</v>
          </cell>
          <cell r="C2705" t="str">
            <v>SAUDI BAUER</v>
          </cell>
          <cell r="D2705" t="str">
            <v>Hse Manager</v>
          </cell>
        </row>
        <row r="2706">
          <cell r="A2706" t="str">
            <v>257387891</v>
          </cell>
          <cell r="B2706" t="str">
            <v>Zakariya</v>
          </cell>
          <cell r="C2706" t="str">
            <v>AALICO</v>
          </cell>
          <cell r="D2706" t="str">
            <v>Supervisor</v>
          </cell>
        </row>
        <row r="2707">
          <cell r="A2707" t="str">
            <v>2610971851</v>
          </cell>
          <cell r="B2707" t="str">
            <v>Zakir</v>
          </cell>
          <cell r="C2707" t="str">
            <v>BUILDING ROOTS</v>
          </cell>
          <cell r="D2707" t="str">
            <v>Carpenter</v>
          </cell>
        </row>
        <row r="2708">
          <cell r="A2708" t="str">
            <v>2632377145</v>
          </cell>
          <cell r="B2708" t="str">
            <v>Zakir Hossain</v>
          </cell>
          <cell r="C2708" t="str">
            <v>GLOBAL CASTLES</v>
          </cell>
          <cell r="D2708" t="str">
            <v>Storekeeper</v>
          </cell>
        </row>
        <row r="2709">
          <cell r="A2709" t="str">
            <v>2482055577</v>
          </cell>
          <cell r="B2709" t="str">
            <v>Zakir Hussain Abdul</v>
          </cell>
          <cell r="C2709" t="str">
            <v>BUILDING ROOTS</v>
          </cell>
          <cell r="D2709" t="str">
            <v>Inspector Scaffolder</v>
          </cell>
        </row>
        <row r="2710">
          <cell r="A2710" t="str">
            <v>2590988172</v>
          </cell>
          <cell r="B2710" t="str">
            <v>Zakir Islam</v>
          </cell>
          <cell r="C2710" t="str">
            <v>GLOBAL CASTLES</v>
          </cell>
          <cell r="D2710" t="str">
            <v>Labour</v>
          </cell>
        </row>
        <row r="2711">
          <cell r="A2711" t="str">
            <v>2533068421</v>
          </cell>
          <cell r="B2711" t="str">
            <v>Zakir Khan</v>
          </cell>
          <cell r="C2711" t="str">
            <v>SAUDI BAUER</v>
          </cell>
          <cell r="D2711" t="str">
            <v>Helper</v>
          </cell>
        </row>
        <row r="2712">
          <cell r="A2712" t="str">
            <v>2621634753</v>
          </cell>
          <cell r="B2712" t="str">
            <v>Zakir Ullah</v>
          </cell>
          <cell r="C2712" t="str">
            <v>GLOBAL CASTLES</v>
          </cell>
          <cell r="D2712" t="str">
            <v>Rigger</v>
          </cell>
        </row>
        <row r="2713">
          <cell r="A2713" t="str">
            <v>2577651595</v>
          </cell>
          <cell r="B2713" t="str">
            <v>Zakir Ullah</v>
          </cell>
          <cell r="C2713" t="str">
            <v>ELITE HEART</v>
          </cell>
          <cell r="D2713" t="str">
            <v>Electrician</v>
          </cell>
        </row>
        <row r="2714">
          <cell r="A2714" t="str">
            <v>2540836257</v>
          </cell>
          <cell r="B2714" t="str">
            <v>Zakir Ullah</v>
          </cell>
          <cell r="C2714" t="str">
            <v>NFT</v>
          </cell>
          <cell r="D2714" t="str">
            <v>Crane Operator</v>
          </cell>
        </row>
        <row r="2715">
          <cell r="A2715" t="str">
            <v>2419739574</v>
          </cell>
          <cell r="B2715" t="str">
            <v>Zakirullah Asreen</v>
          </cell>
          <cell r="C2715" t="str">
            <v>BUILDING ROOTS</v>
          </cell>
          <cell r="D2715" t="str">
            <v>Carpenter</v>
          </cell>
        </row>
        <row r="2716">
          <cell r="A2716" t="str">
            <v>2560772226</v>
          </cell>
          <cell r="B2716" t="str">
            <v>Zakraya Abdulmajeed</v>
          </cell>
          <cell r="C2716" t="str">
            <v>BUILDING ROOTS</v>
          </cell>
          <cell r="D2716" t="str">
            <v>Carpenter</v>
          </cell>
        </row>
        <row r="2717">
          <cell r="A2717" t="str">
            <v>2599088552</v>
          </cell>
          <cell r="B2717" t="str">
            <v>Zakria Raid</v>
          </cell>
          <cell r="C2717" t="str">
            <v>ELITE HEART</v>
          </cell>
          <cell r="D2717" t="str">
            <v>Fencing Man</v>
          </cell>
        </row>
        <row r="2718">
          <cell r="A2718" t="str">
            <v>2272342482</v>
          </cell>
          <cell r="B2718" t="str">
            <v>Zameer</v>
          </cell>
          <cell r="C2718" t="str">
            <v>BUILDING ROOTS</v>
          </cell>
          <cell r="D2718" t="str">
            <v>Driver</v>
          </cell>
        </row>
        <row r="2719">
          <cell r="A2719" t="str">
            <v>2481311898</v>
          </cell>
          <cell r="B2719" t="str">
            <v>Zameer Abbas</v>
          </cell>
          <cell r="C2719" t="str">
            <v>BUILDING ROOTS</v>
          </cell>
          <cell r="D2719" t="str">
            <v>Steel Fixer</v>
          </cell>
        </row>
        <row r="2720">
          <cell r="A2720" t="str">
            <v>2571708433</v>
          </cell>
          <cell r="B2720" t="str">
            <v>Zanis Bilal</v>
          </cell>
          <cell r="C2720" t="str">
            <v>BUILDING ROOTS</v>
          </cell>
          <cell r="D2720" t="str">
            <v>Steel Fixer</v>
          </cell>
        </row>
        <row r="2721">
          <cell r="A2721" t="str">
            <v>2605443387</v>
          </cell>
          <cell r="B2721" t="str">
            <v>Zardad Khan</v>
          </cell>
          <cell r="C2721" t="str">
            <v>BUILDING ROOTS</v>
          </cell>
          <cell r="D2721" t="str">
            <v>Carpenter</v>
          </cell>
        </row>
        <row r="2722">
          <cell r="A2722" t="str">
            <v>2516111248</v>
          </cell>
          <cell r="B2722" t="str">
            <v>Zeeshan</v>
          </cell>
          <cell r="C2722" t="str">
            <v>BUILDING ROOTS</v>
          </cell>
          <cell r="D2722" t="str">
            <v>Labour</v>
          </cell>
        </row>
        <row r="2723">
          <cell r="A2723" t="str">
            <v>2531568760</v>
          </cell>
          <cell r="B2723" t="str">
            <v>Zeeshan Ali</v>
          </cell>
          <cell r="C2723" t="str">
            <v>BUILDING ROOTS</v>
          </cell>
          <cell r="D2723" t="str">
            <v>Driver</v>
          </cell>
        </row>
        <row r="2724">
          <cell r="A2724" t="str">
            <v>2546387099</v>
          </cell>
          <cell r="B2724" t="str">
            <v>Zeeshan Ali</v>
          </cell>
          <cell r="C2724" t="str">
            <v>ELITE HEART</v>
          </cell>
          <cell r="D2724" t="str">
            <v>Steel Fixer</v>
          </cell>
        </row>
        <row r="2725">
          <cell r="A2725" t="str">
            <v>2623273201</v>
          </cell>
          <cell r="B2725" t="str">
            <v>Zeeshan Ali</v>
          </cell>
          <cell r="C2725" t="str">
            <v>ELITE HEART</v>
          </cell>
          <cell r="D2725" t="str">
            <v>Steel Fixer</v>
          </cell>
        </row>
        <row r="2726">
          <cell r="A2726" t="str">
            <v>2537376424</v>
          </cell>
          <cell r="B2726" t="str">
            <v>Zeeshan Ali</v>
          </cell>
          <cell r="C2726" t="str">
            <v>ELITE HEART</v>
          </cell>
          <cell r="D2726" t="str">
            <v>Steel Fixer</v>
          </cell>
        </row>
        <row r="2727">
          <cell r="A2727" t="str">
            <v>2585931880</v>
          </cell>
          <cell r="B2727" t="str">
            <v>Zelkria Khan</v>
          </cell>
          <cell r="C2727" t="str">
            <v>BUILDING ROOTS</v>
          </cell>
          <cell r="D2727" t="str">
            <v>Hse Officer</v>
          </cell>
        </row>
        <row r="2728">
          <cell r="A2728" t="str">
            <v>2521916227</v>
          </cell>
          <cell r="B2728" t="str">
            <v>Zia Abdul Rahman</v>
          </cell>
          <cell r="C2728" t="str">
            <v>TARIF ARABIAN</v>
          </cell>
          <cell r="D2728" t="str">
            <v>Dump Truck Driver</v>
          </cell>
        </row>
        <row r="2729">
          <cell r="A2729" t="str">
            <v>2607477136</v>
          </cell>
          <cell r="B2729" t="str">
            <v>Zia Muhammad</v>
          </cell>
          <cell r="C2729" t="str">
            <v>ELITE HEART</v>
          </cell>
          <cell r="D2729" t="str">
            <v>Steel Fixer</v>
          </cell>
        </row>
        <row r="2730">
          <cell r="A2730" t="str">
            <v>2605899257</v>
          </cell>
          <cell r="B2730" t="str">
            <v>Zia Ud Din</v>
          </cell>
          <cell r="C2730" t="str">
            <v>BUILDING ROOTS</v>
          </cell>
          <cell r="D2730" t="str">
            <v>Steel Fixer</v>
          </cell>
        </row>
        <row r="2731">
          <cell r="A2731" t="str">
            <v>2603869856</v>
          </cell>
          <cell r="B2731" t="str">
            <v>Zia Ur Rahman</v>
          </cell>
          <cell r="C2731" t="str">
            <v>BUILDING ROOTS</v>
          </cell>
          <cell r="D2731" t="str">
            <v>Steel Fixer</v>
          </cell>
        </row>
        <row r="2732">
          <cell r="A2732" t="str">
            <v>2550147207</v>
          </cell>
          <cell r="B2732" t="str">
            <v>Zia Ur Rahman</v>
          </cell>
          <cell r="C2732" t="str">
            <v>BUILDING ROOTS</v>
          </cell>
          <cell r="D2732" t="str">
            <v>Labour</v>
          </cell>
        </row>
        <row r="2733">
          <cell r="A2733" t="str">
            <v>2619327642</v>
          </cell>
          <cell r="B2733" t="str">
            <v>Zia ullah</v>
          </cell>
          <cell r="C2733" t="str">
            <v>BUILDING ROOTS</v>
          </cell>
          <cell r="D2733" t="str">
            <v>Steel Fixer</v>
          </cell>
        </row>
        <row r="2734">
          <cell r="A2734" t="str">
            <v>2507470173</v>
          </cell>
          <cell r="B2734" t="str">
            <v>Zia ur</v>
          </cell>
          <cell r="C2734" t="str">
            <v>GLOBAL CASTLE</v>
          </cell>
          <cell r="D2734" t="str">
            <v>Carpenter</v>
          </cell>
        </row>
        <row r="2735">
          <cell r="A2735" t="str">
            <v>2315829354</v>
          </cell>
          <cell r="B2735" t="str">
            <v>Zikria</v>
          </cell>
          <cell r="C2735" t="str">
            <v>BUILDING ROOTS</v>
          </cell>
          <cell r="D2735" t="str">
            <v>Carpenter</v>
          </cell>
        </row>
        <row r="2736">
          <cell r="A2736" t="str">
            <v>2588198453</v>
          </cell>
          <cell r="B2736" t="str">
            <v>Zinat Ullah</v>
          </cell>
          <cell r="C2736" t="str">
            <v>BUILDING ROOTS</v>
          </cell>
          <cell r="D2736" t="str">
            <v>Carpenter</v>
          </cell>
        </row>
        <row r="2737">
          <cell r="A2737" t="str">
            <v>2626133348</v>
          </cell>
          <cell r="B2737" t="str">
            <v>Ziul haque</v>
          </cell>
          <cell r="C2737" t="str">
            <v>GLOBAL CASTLE</v>
          </cell>
          <cell r="D2737" t="str">
            <v>Carpenter</v>
          </cell>
        </row>
        <row r="2738">
          <cell r="A2738" t="str">
            <v>2440521355</v>
          </cell>
          <cell r="B2738" t="str">
            <v>Zlda Pysis</v>
          </cell>
          <cell r="C2738" t="str">
            <v>ALMABANI CONT.</v>
          </cell>
          <cell r="D2738" t="str">
            <v>Electrician</v>
          </cell>
        </row>
        <row r="2739">
          <cell r="A2739" t="str">
            <v>2409263627</v>
          </cell>
          <cell r="B2739" t="str">
            <v>Zoabol Saf</v>
          </cell>
          <cell r="C2739" t="str">
            <v>PRAINSA</v>
          </cell>
          <cell r="D2739" t="str">
            <v>Foreman</v>
          </cell>
        </row>
        <row r="2740">
          <cell r="A2740" t="str">
            <v>2617793159</v>
          </cell>
          <cell r="B2740" t="str">
            <v>Zohaib Ahmed</v>
          </cell>
          <cell r="C2740" t="str">
            <v>BUILDING ROOTS</v>
          </cell>
          <cell r="D2740" t="str">
            <v>Carpenter</v>
          </cell>
        </row>
        <row r="2741">
          <cell r="A2741" t="str">
            <v>2630144174</v>
          </cell>
          <cell r="B2741" t="str">
            <v>Zohaib Ali</v>
          </cell>
          <cell r="C2741" t="str">
            <v>BUILDING ROOTS</v>
          </cell>
          <cell r="D2741" t="str">
            <v>Steel Fixer</v>
          </cell>
        </row>
        <row r="2742">
          <cell r="A2742" t="str">
            <v>2630290688</v>
          </cell>
          <cell r="B2742" t="str">
            <v>Zohaib Khan</v>
          </cell>
          <cell r="C2742" t="str">
            <v>ELITE HEART</v>
          </cell>
          <cell r="D2742" t="str">
            <v>Scaffolder</v>
          </cell>
        </row>
        <row r="2743">
          <cell r="A2743" t="str">
            <v>2631885668</v>
          </cell>
          <cell r="B2743" t="str">
            <v>Zohaib Zada</v>
          </cell>
          <cell r="C2743" t="str">
            <v>ELITE HEART</v>
          </cell>
          <cell r="D2743" t="str">
            <v>Carpenter</v>
          </cell>
        </row>
        <row r="2744">
          <cell r="A2744" t="str">
            <v>2591972886</v>
          </cell>
          <cell r="B2744" t="str">
            <v>Zubair</v>
          </cell>
          <cell r="C2744" t="str">
            <v>BUILDING ROOTS</v>
          </cell>
          <cell r="D2744" t="str">
            <v>Steel Fixer</v>
          </cell>
        </row>
        <row r="2745">
          <cell r="A2745" t="str">
            <v>2627583665</v>
          </cell>
          <cell r="B2745" t="str">
            <v>Zubair Ali</v>
          </cell>
          <cell r="C2745" t="str">
            <v>BUILDING ROOTS</v>
          </cell>
          <cell r="D2745" t="str">
            <v>Labour</v>
          </cell>
        </row>
        <row r="2746">
          <cell r="A2746" t="str">
            <v>2619327774</v>
          </cell>
          <cell r="B2746" t="str">
            <v>Zubair khan</v>
          </cell>
          <cell r="C2746" t="str">
            <v>BUILDING ROOTS</v>
          </cell>
          <cell r="D2746" t="str">
            <v>Steel Fixer</v>
          </cell>
        </row>
        <row r="2747">
          <cell r="A2747" t="str">
            <v>2222032878</v>
          </cell>
          <cell r="B2747" t="str">
            <v>Zubair khan</v>
          </cell>
          <cell r="C2747" t="str">
            <v>BUILDING ROOTS</v>
          </cell>
          <cell r="D2747" t="str">
            <v>Surveyor helper</v>
          </cell>
        </row>
        <row r="2748">
          <cell r="A2748" t="str">
            <v>2424410500</v>
          </cell>
          <cell r="B2748" t="str">
            <v>Zuber Ahmed</v>
          </cell>
          <cell r="C2748" t="str">
            <v>TAMIMI</v>
          </cell>
          <cell r="D2748" t="str">
            <v>A/C Tech</v>
          </cell>
        </row>
        <row r="2749">
          <cell r="A2749" t="str">
            <v>2486304120</v>
          </cell>
          <cell r="B2749" t="str">
            <v>Zuhaib Khan</v>
          </cell>
          <cell r="C2749" t="str">
            <v>BUILDING ROOTS</v>
          </cell>
          <cell r="D2749" t="str">
            <v>Surveyor</v>
          </cell>
        </row>
        <row r="2750">
          <cell r="A2750" t="str">
            <v>2612275152</v>
          </cell>
          <cell r="B2750" t="str">
            <v>Zulfiqar Ali</v>
          </cell>
          <cell r="C2750" t="str">
            <v>BUILDING ROOTS</v>
          </cell>
          <cell r="D2750" t="str">
            <v>Carpenter</v>
          </cell>
        </row>
        <row r="2751">
          <cell r="A2751" t="str">
            <v>2631700545</v>
          </cell>
          <cell r="B2751" t="str">
            <v>afzal ahmad</v>
          </cell>
          <cell r="C2751" t="str">
            <v>BUILDING ROOTS</v>
          </cell>
          <cell r="D2751" t="str">
            <v>Steel Fixer</v>
          </cell>
        </row>
        <row r="2752">
          <cell r="A2752" t="str">
            <v>2617144460</v>
          </cell>
          <cell r="B2752" t="str">
            <v>alamin</v>
          </cell>
          <cell r="C2752" t="str">
            <v>ANNAQ</v>
          </cell>
          <cell r="D2752" t="str">
            <v>Helper</v>
          </cell>
        </row>
        <row r="2753">
          <cell r="A2753" t="str">
            <v>2627600253</v>
          </cell>
          <cell r="B2753" t="str">
            <v>basher</v>
          </cell>
          <cell r="C2753" t="str">
            <v>BUILDING ROOTS</v>
          </cell>
          <cell r="D2753" t="str">
            <v>Carpenter</v>
          </cell>
        </row>
        <row r="2754">
          <cell r="A2754" t="str">
            <v>2530352687</v>
          </cell>
          <cell r="B2754" t="str">
            <v>bellal</v>
          </cell>
          <cell r="C2754" t="str">
            <v>GLOBAL CASTLE</v>
          </cell>
          <cell r="D2754" t="str">
            <v>Steel Fixer</v>
          </cell>
        </row>
        <row r="2755">
          <cell r="A2755" t="str">
            <v>2364024303</v>
          </cell>
          <cell r="B2755" t="str">
            <v>dheyu mehmood</v>
          </cell>
          <cell r="C2755" t="str">
            <v>BUILDING ROOTS</v>
          </cell>
          <cell r="D2755" t="str">
            <v>Carpenter</v>
          </cell>
        </row>
        <row r="2756">
          <cell r="A2756" t="str">
            <v>2631026818</v>
          </cell>
          <cell r="B2756" t="str">
            <v>fahim uddin</v>
          </cell>
          <cell r="C2756" t="str">
            <v>BUILDING ROOTS</v>
          </cell>
          <cell r="D2756" t="str">
            <v>Carpenter</v>
          </cell>
        </row>
        <row r="2757">
          <cell r="A2757" t="str">
            <v>2622120463</v>
          </cell>
          <cell r="B2757" t="str">
            <v>hamzah mahyoub</v>
          </cell>
          <cell r="C2757" t="str">
            <v>BUILDING ROOTS</v>
          </cell>
          <cell r="D2757" t="str">
            <v>Carpenter</v>
          </cell>
        </row>
        <row r="2758">
          <cell r="A2758" t="str">
            <v>2586967974</v>
          </cell>
          <cell r="B2758" t="str">
            <v>haq nawaz</v>
          </cell>
          <cell r="C2758" t="str">
            <v>BUILDING ROOTS</v>
          </cell>
          <cell r="D2758" t="str">
            <v>Steel Fixer</v>
          </cell>
        </row>
        <row r="2759">
          <cell r="A2759" t="str">
            <v>2380867131</v>
          </cell>
          <cell r="B2759" t="str">
            <v>helal khamis</v>
          </cell>
          <cell r="C2759" t="str">
            <v>BUILDING ROOTS</v>
          </cell>
          <cell r="D2759" t="str">
            <v>excavator operator</v>
          </cell>
        </row>
        <row r="2760">
          <cell r="A2760" t="str">
            <v>2630868004</v>
          </cell>
          <cell r="B2760" t="str">
            <v>ifthikhaar</v>
          </cell>
          <cell r="C2760" t="str">
            <v>ARABIAN TOWER</v>
          </cell>
          <cell r="D2760" t="str">
            <v>Erector</v>
          </cell>
        </row>
        <row r="2761">
          <cell r="A2761" t="str">
            <v>2608180499</v>
          </cell>
          <cell r="B2761" t="str">
            <v>ihbal khan</v>
          </cell>
          <cell r="C2761" t="str">
            <v>GLOBAL CASTLE</v>
          </cell>
          <cell r="D2761" t="str">
            <v>Steel Fixer</v>
          </cell>
        </row>
        <row r="2762">
          <cell r="A2762" t="str">
            <v>2436583906</v>
          </cell>
          <cell r="B2762" t="str">
            <v>ikbal mah</v>
          </cell>
          <cell r="C2762" t="str">
            <v>GLOBAL CASTLE</v>
          </cell>
          <cell r="D2762" t="str">
            <v>Steel Fixer</v>
          </cell>
        </row>
        <row r="2763">
          <cell r="A2763" t="str">
            <v>2558185068</v>
          </cell>
          <cell r="B2763" t="str">
            <v>intekhab alam</v>
          </cell>
          <cell r="C2763" t="str">
            <v>GLOBAL CASTLE</v>
          </cell>
          <cell r="D2763" t="str">
            <v>Steel Fixer</v>
          </cell>
        </row>
        <row r="2764">
          <cell r="A2764" t="str">
            <v>2524856008</v>
          </cell>
          <cell r="B2764" t="str">
            <v>jakaria hanif</v>
          </cell>
          <cell r="C2764" t="str">
            <v>GLOBAL CASTLE</v>
          </cell>
          <cell r="D2764" t="str">
            <v>Steel Fixer</v>
          </cell>
        </row>
        <row r="2765">
          <cell r="A2765" t="str">
            <v>2195333774</v>
          </cell>
          <cell r="B2765" t="str">
            <v>kamal muraad</v>
          </cell>
          <cell r="C2765" t="str">
            <v>BUILDING ROOTS</v>
          </cell>
          <cell r="D2765" t="str">
            <v>store keeper</v>
          </cell>
        </row>
        <row r="2766">
          <cell r="A2766" t="str">
            <v>2632001190</v>
          </cell>
          <cell r="B2766" t="str">
            <v>kamran</v>
          </cell>
          <cell r="C2766" t="str">
            <v>BUILDING ROOTS</v>
          </cell>
          <cell r="D2766" t="str">
            <v>Steel Fixer</v>
          </cell>
        </row>
        <row r="2767">
          <cell r="A2767" t="str">
            <v>2560319606</v>
          </cell>
          <cell r="B2767" t="str">
            <v>kashif</v>
          </cell>
          <cell r="C2767" t="str">
            <v>BUILDING ROOTS</v>
          </cell>
          <cell r="D2767" t="str">
            <v>Steel Fixer</v>
          </cell>
        </row>
        <row r="2768">
          <cell r="A2768" t="str">
            <v>2589284104</v>
          </cell>
          <cell r="B2768" t="str">
            <v>mahbub</v>
          </cell>
          <cell r="C2768" t="str">
            <v>ONUR</v>
          </cell>
          <cell r="D2768" t="str">
            <v>helper</v>
          </cell>
        </row>
        <row r="2769">
          <cell r="A2769" t="str">
            <v>2412977668</v>
          </cell>
          <cell r="B2769" t="str">
            <v>mohammed fahai</v>
          </cell>
          <cell r="C2769" t="str">
            <v>AALICO</v>
          </cell>
          <cell r="D2769" t="str">
            <v>Construction manager</v>
          </cell>
        </row>
        <row r="2770">
          <cell r="A2770" t="str">
            <v>2520374261</v>
          </cell>
          <cell r="B2770" t="str">
            <v>moshiur</v>
          </cell>
          <cell r="C2770" t="str">
            <v>GLOBAL CASTLE</v>
          </cell>
          <cell r="D2770" t="str">
            <v>Steel Fixer</v>
          </cell>
        </row>
        <row r="2771">
          <cell r="A2771" t="str">
            <v>2589431580</v>
          </cell>
          <cell r="B2771" t="str">
            <v>murad ali</v>
          </cell>
          <cell r="C2771" t="str">
            <v>GLOBAL CASTLE</v>
          </cell>
          <cell r="D2771" t="str">
            <v>Steel Fixer</v>
          </cell>
        </row>
        <row r="2772">
          <cell r="A2772" t="str">
            <v>2610865384</v>
          </cell>
          <cell r="B2772" t="str">
            <v>naseem ullah</v>
          </cell>
          <cell r="C2772" t="str">
            <v>BUILDING ROOTS</v>
          </cell>
          <cell r="D2772" t="str">
            <v>Steel Fixer</v>
          </cell>
        </row>
        <row r="2773">
          <cell r="A2773" t="str">
            <v>2612680377</v>
          </cell>
          <cell r="B2773" t="str">
            <v>naveed khan</v>
          </cell>
          <cell r="C2773" t="str">
            <v>BUILDING ROOTS</v>
          </cell>
          <cell r="D2773" t="str">
            <v>Carpenter</v>
          </cell>
        </row>
        <row r="2774">
          <cell r="A2774" t="str">
            <v>2634265827</v>
          </cell>
          <cell r="B2774" t="str">
            <v>palash</v>
          </cell>
          <cell r="C2774" t="str">
            <v>ANNAQ</v>
          </cell>
          <cell r="D2774" t="str">
            <v>helper</v>
          </cell>
        </row>
        <row r="2775">
          <cell r="A2775" t="str">
            <v>2497912754</v>
          </cell>
          <cell r="B2775" t="str">
            <v>qanait</v>
          </cell>
          <cell r="C2775" t="str">
            <v>Qiddiya</v>
          </cell>
          <cell r="D2775" t="str">
            <v>Media director</v>
          </cell>
        </row>
        <row r="2776">
          <cell r="A2776" t="str">
            <v>2552202893</v>
          </cell>
          <cell r="B2776" t="str">
            <v>qusai mukhtar</v>
          </cell>
          <cell r="C2776" t="str">
            <v>BUILDING ROOTS</v>
          </cell>
          <cell r="D2776" t="str">
            <v>Carpenter</v>
          </cell>
        </row>
        <row r="2777">
          <cell r="A2777" t="str">
            <v>2620933115</v>
          </cell>
          <cell r="B2777" t="str">
            <v>rabiul</v>
          </cell>
          <cell r="C2777" t="str">
            <v>ALMABANI CONT.</v>
          </cell>
          <cell r="D2777" t="str">
            <v>Carpenter</v>
          </cell>
        </row>
        <row r="2778">
          <cell r="A2778" t="str">
            <v>2550649517</v>
          </cell>
          <cell r="B2778" t="str">
            <v>rabiullah</v>
          </cell>
          <cell r="C2778" t="str">
            <v>GLOBAL CASTLE</v>
          </cell>
          <cell r="D2778" t="str">
            <v>Foreman</v>
          </cell>
        </row>
        <row r="2779">
          <cell r="A2779" t="str">
            <v>2614921100</v>
          </cell>
          <cell r="B2779" t="str">
            <v>rahis ahmed</v>
          </cell>
          <cell r="C2779" t="str">
            <v>UNITED GULF</v>
          </cell>
          <cell r="D2779" t="str">
            <v>Carpenter</v>
          </cell>
        </row>
        <row r="2780">
          <cell r="A2780" t="str">
            <v>2526445313</v>
          </cell>
          <cell r="B2780" t="str">
            <v>rashed</v>
          </cell>
          <cell r="C2780" t="str">
            <v>GLOBAL CASTLE</v>
          </cell>
          <cell r="D2780" t="str">
            <v>helper</v>
          </cell>
        </row>
        <row r="2781">
          <cell r="A2781" t="str">
            <v>2500165986</v>
          </cell>
          <cell r="B2781" t="str">
            <v>rashid ahmmed</v>
          </cell>
          <cell r="C2781" t="str">
            <v>BUILDING ROOTS</v>
          </cell>
          <cell r="D2781" t="str">
            <v>Scaffolder</v>
          </cell>
        </row>
        <row r="2782">
          <cell r="A2782" t="str">
            <v>2565371057</v>
          </cell>
          <cell r="B2782" t="str">
            <v>raz khan</v>
          </cell>
          <cell r="C2782" t="str">
            <v>GLOBAL CASTLE</v>
          </cell>
          <cell r="D2782" t="str">
            <v>Steel Fixer</v>
          </cell>
        </row>
        <row r="2783">
          <cell r="A2783" t="str">
            <v>2559024192</v>
          </cell>
          <cell r="B2783" t="str">
            <v>reda gomar</v>
          </cell>
          <cell r="C2783" t="str">
            <v>ULMA - SMC</v>
          </cell>
          <cell r="D2783" t="str">
            <v>engineer</v>
          </cell>
        </row>
        <row r="2784">
          <cell r="A2784" t="str">
            <v>2593623354</v>
          </cell>
          <cell r="B2784" t="str">
            <v>rukhsar ahmad</v>
          </cell>
          <cell r="C2784" t="str">
            <v>BUILDING ROOTS</v>
          </cell>
          <cell r="D2784" t="str">
            <v>Steel Fixer</v>
          </cell>
        </row>
        <row r="2785">
          <cell r="A2785" t="str">
            <v>2612680468</v>
          </cell>
          <cell r="B2785" t="str">
            <v>sajid rehman</v>
          </cell>
          <cell r="C2785" t="str">
            <v>BUILDING ROOTS</v>
          </cell>
          <cell r="D2785" t="str">
            <v>Carpenter</v>
          </cell>
        </row>
        <row r="2786">
          <cell r="A2786" t="str">
            <v>2286875519</v>
          </cell>
          <cell r="B2786" t="str">
            <v>sajidullah</v>
          </cell>
          <cell r="C2786" t="str">
            <v>ELITE HEART</v>
          </cell>
          <cell r="D2786" t="str">
            <v>Scaffolder</v>
          </cell>
        </row>
        <row r="2787">
          <cell r="A2787" t="str">
            <v>2635247063</v>
          </cell>
          <cell r="B2787" t="str">
            <v>sameer</v>
          </cell>
          <cell r="C2787" t="str">
            <v>UNITED GULF</v>
          </cell>
          <cell r="D2787" t="str">
            <v>Carpenter</v>
          </cell>
        </row>
        <row r="2788">
          <cell r="A2788" t="str">
            <v>2636176733</v>
          </cell>
          <cell r="B2788" t="str">
            <v>samran</v>
          </cell>
          <cell r="C2788" t="str">
            <v>BUILDING ROOTS</v>
          </cell>
          <cell r="D2788" t="str">
            <v>labor</v>
          </cell>
        </row>
        <row r="2789">
          <cell r="A2789" t="str">
            <v>2591375338</v>
          </cell>
          <cell r="B2789" t="str">
            <v>shidul molla</v>
          </cell>
          <cell r="C2789" t="str">
            <v>GLOBAL CASTLE</v>
          </cell>
          <cell r="D2789" t="str">
            <v>Steel Fixer</v>
          </cell>
        </row>
        <row r="2790">
          <cell r="A2790" t="str">
            <v>2237238452</v>
          </cell>
          <cell r="B2790" t="str">
            <v>siraj</v>
          </cell>
          <cell r="C2790" t="str">
            <v>BUILDING ROOTS</v>
          </cell>
          <cell r="D2790" t="str">
            <v>Foreman Carpenter</v>
          </cell>
        </row>
        <row r="2791">
          <cell r="A2791" t="str">
            <v>2613166152</v>
          </cell>
          <cell r="B2791" t="str">
            <v>sohel farazi</v>
          </cell>
          <cell r="C2791" t="str">
            <v>GLOBAL CASTLE</v>
          </cell>
          <cell r="D2791" t="str">
            <v>Steel Fixer</v>
          </cell>
        </row>
        <row r="2792">
          <cell r="A2792" t="str">
            <v>2512471844</v>
          </cell>
          <cell r="B2792" t="str">
            <v>sojan</v>
          </cell>
          <cell r="C2792" t="str">
            <v>GLOBAL CASTLE</v>
          </cell>
          <cell r="D2792" t="str">
            <v>Steel Fixer</v>
          </cell>
        </row>
        <row r="2793">
          <cell r="A2793" t="str">
            <v>2589686142</v>
          </cell>
          <cell r="B2793" t="str">
            <v>tahir ahmed</v>
          </cell>
          <cell r="C2793" t="str">
            <v>GLOBAL CASTLE</v>
          </cell>
          <cell r="D2793" t="str">
            <v>Carpenter</v>
          </cell>
        </row>
        <row r="2794">
          <cell r="A2794" t="str">
            <v>2604475984</v>
          </cell>
          <cell r="B2794" t="str">
            <v>umar farooq</v>
          </cell>
          <cell r="C2794" t="str">
            <v>GLOBAL CASTLE</v>
          </cell>
          <cell r="D2794" t="str">
            <v>Steel Fixer</v>
          </cell>
        </row>
        <row r="2795">
          <cell r="A2795" t="str">
            <v>2360120675</v>
          </cell>
          <cell r="B2795" t="str">
            <v>walid alhawwari</v>
          </cell>
          <cell r="C2795" t="str">
            <v>ONUR</v>
          </cell>
          <cell r="D2795" t="str">
            <v>Interface manager</v>
          </cell>
        </row>
        <row r="2796">
          <cell r="A2796" t="str">
            <v>2164700698</v>
          </cell>
          <cell r="B2796" t="str">
            <v>walid khaled</v>
          </cell>
          <cell r="C2796" t="str">
            <v>BUILDING ROOTS</v>
          </cell>
          <cell r="D2796" t="str">
            <v>Foreman</v>
          </cell>
        </row>
        <row r="2797">
          <cell r="A2797" t="str">
            <v>2620452546</v>
          </cell>
          <cell r="B2797" t="str">
            <v>yaseem</v>
          </cell>
          <cell r="C2797" t="str">
            <v>BUILDING ROOTS</v>
          </cell>
          <cell r="D2797" t="str">
            <v>Steel Fixer</v>
          </cell>
        </row>
        <row r="2798">
          <cell r="A2798" t="str">
            <v>2569634419</v>
          </cell>
          <cell r="B2798" t="str">
            <v>zahid mehboob</v>
          </cell>
          <cell r="C2798" t="str">
            <v>ONUR</v>
          </cell>
          <cell r="D2798" t="str">
            <v>land surveyor</v>
          </cell>
        </row>
        <row r="2799">
          <cell r="A2799" t="str">
            <v>2527619064</v>
          </cell>
          <cell r="B2799" t="str">
            <v>zain saleem</v>
          </cell>
          <cell r="C2799" t="str">
            <v>ALMABANI CONT.</v>
          </cell>
          <cell r="D2799" t="str">
            <v>tiler</v>
          </cell>
        </row>
        <row r="2800">
          <cell r="A2800" t="str">
            <v>2591484320</v>
          </cell>
          <cell r="B2800" t="str">
            <v>zakair hussain</v>
          </cell>
          <cell r="C2800" t="str">
            <v>AALICO</v>
          </cell>
          <cell r="D2800" t="str">
            <v>rigger</v>
          </cell>
        </row>
        <row r="2801">
          <cell r="A2801" t="str">
            <v>2296209212</v>
          </cell>
          <cell r="B2801" t="str">
            <v>zia ullah</v>
          </cell>
          <cell r="C2801" t="str">
            <v>BUILDING ROOTS</v>
          </cell>
          <cell r="D2801" t="str">
            <v>labor</v>
          </cell>
        </row>
      </sheetData>
      <sheetData sheetId="8">
        <row r="2">
          <cell r="A2" t="str">
            <v>Zone CC</v>
          </cell>
          <cell r="B2" t="str">
            <v>JV (BBI-AGC)</v>
          </cell>
          <cell r="C2" t="str">
            <v>Central Court</v>
          </cell>
          <cell r="D2" t="str">
            <v>Minor</v>
          </cell>
          <cell r="E2" t="str">
            <v>Not using proper PPE</v>
          </cell>
          <cell r="F2" t="str">
            <v>Verbal Warning</v>
          </cell>
          <cell r="G2" t="str">
            <v>Open</v>
          </cell>
          <cell r="H2" t="str">
            <v>Yes</v>
          </cell>
          <cell r="I2" t="str">
            <v>First Aid</v>
          </cell>
          <cell r="J2" t="str">
            <v>First Aid Case</v>
          </cell>
          <cell r="K2" t="str">
            <v>MRN</v>
          </cell>
          <cell r="L2" t="str">
            <v>Contractors</v>
          </cell>
          <cell r="M2" t="str">
            <v>Pratyush MUDBHARI</v>
          </cell>
          <cell r="N2" t="str">
            <v>Leadership Walkthroughs</v>
          </cell>
          <cell r="O2" t="str">
            <v>Induction (IH)</v>
          </cell>
          <cell r="P2" t="str">
            <v>Induction</v>
          </cell>
        </row>
        <row r="3">
          <cell r="A3" t="str">
            <v>Zone CT1 / CT2</v>
          </cell>
          <cell r="B3" t="str">
            <v>BOUYGES CONS.</v>
          </cell>
          <cell r="C3" t="str">
            <v>Court I</v>
          </cell>
          <cell r="D3" t="str">
            <v>Major</v>
          </cell>
          <cell r="E3" t="str">
            <v>Working at Height violation</v>
          </cell>
          <cell r="F3" t="str">
            <v>1st Warning</v>
          </cell>
          <cell r="G3" t="str">
            <v>Closed</v>
          </cell>
          <cell r="H3" t="str">
            <v>No</v>
          </cell>
          <cell r="I3" t="str">
            <v>Near Miss</v>
          </cell>
          <cell r="J3" t="str">
            <v>Not Applicable</v>
          </cell>
          <cell r="K3" t="str">
            <v>Not Applicable</v>
          </cell>
          <cell r="L3" t="str">
            <v>Joint Venture</v>
          </cell>
          <cell r="M3" t="str">
            <v>Maksim YAZDANOV</v>
          </cell>
          <cell r="N3" t="str">
            <v>Stop&amp;Go by H&amp;S</v>
          </cell>
          <cell r="O3" t="str">
            <v>Work at Height Training</v>
          </cell>
          <cell r="P3" t="str">
            <v>Task Specific</v>
          </cell>
        </row>
        <row r="4">
          <cell r="A4" t="str">
            <v>Zone HPTC</v>
          </cell>
          <cell r="B4" t="str">
            <v>ALMABANI CONT.</v>
          </cell>
          <cell r="C4" t="str">
            <v>Court II</v>
          </cell>
          <cell r="D4" t="str">
            <v>Critical</v>
          </cell>
          <cell r="E4" t="str">
            <v>Working on incomplete platform</v>
          </cell>
          <cell r="F4" t="str">
            <v>2nd Warning</v>
          </cell>
          <cell r="I4" t="str">
            <v>Severe Accident</v>
          </cell>
          <cell r="J4" t="str">
            <v>Fatality</v>
          </cell>
          <cell r="K4" t="str">
            <v>MRA</v>
          </cell>
          <cell r="M4" t="str">
            <v>Abdullah Albin SAAD</v>
          </cell>
          <cell r="N4" t="str">
            <v>Stop&amp;Go by Production</v>
          </cell>
          <cell r="O4" t="str">
            <v>Grinding and cutting</v>
          </cell>
        </row>
        <row r="5">
          <cell r="B5" t="str">
            <v>BRC</v>
          </cell>
          <cell r="C5" t="str">
            <v>HPTC</v>
          </cell>
          <cell r="E5" t="str">
            <v>Not following PTW procedure</v>
          </cell>
          <cell r="F5" t="str">
            <v>Final Warning</v>
          </cell>
          <cell r="M5" t="str">
            <v>Gozel Amiri</v>
          </cell>
          <cell r="N5" t="str">
            <v>Near Misses</v>
          </cell>
          <cell r="O5" t="str">
            <v>Hot work Training</v>
          </cell>
        </row>
        <row r="6">
          <cell r="B6" t="str">
            <v>ELITE HEARTS</v>
          </cell>
          <cell r="C6" t="str">
            <v>JV Laydown</v>
          </cell>
          <cell r="E6" t="str">
            <v>Not following Work at Height procedure</v>
          </cell>
          <cell r="F6" t="str">
            <v>Suspension</v>
          </cell>
          <cell r="M6" t="str">
            <v>Faizal ANSARI</v>
          </cell>
          <cell r="N6" t="str">
            <v>Major Risk Near Misses</v>
          </cell>
          <cell r="O6" t="str">
            <v>Confined Space</v>
          </cell>
        </row>
        <row r="7">
          <cell r="B7" t="str">
            <v>GLOBAL CASTLES</v>
          </cell>
          <cell r="E7" t="str">
            <v>Any unsafe act / practice</v>
          </cell>
          <cell r="F7" t="str">
            <v>Termination</v>
          </cell>
          <cell r="M7" t="str">
            <v>Parahat DURDYYEV</v>
          </cell>
          <cell r="N7" t="str">
            <v>Property Damage</v>
          </cell>
          <cell r="O7" t="str">
            <v>Fire Safety</v>
          </cell>
        </row>
        <row r="8">
          <cell r="B8" t="str">
            <v>GULF MARK</v>
          </cell>
          <cell r="E8" t="str">
            <v>Not following project procedure</v>
          </cell>
          <cell r="M8" t="str">
            <v>Hussain ALBASRI</v>
          </cell>
          <cell r="N8" t="str">
            <v>Severe Accident</v>
          </cell>
          <cell r="O8" t="str">
            <v>First Aid</v>
          </cell>
        </row>
        <row r="9">
          <cell r="B9" t="str">
            <v>AIR TRUNK</v>
          </cell>
          <cell r="E9" t="str">
            <v>Performing prayer in unsafe area</v>
          </cell>
          <cell r="M9" t="str">
            <v>Ahmed HILAL</v>
          </cell>
          <cell r="N9" t="str">
            <v>Major Risk Accident</v>
          </cell>
          <cell r="O9" t="str">
            <v>Manual Handling</v>
          </cell>
        </row>
        <row r="10">
          <cell r="B10" t="str">
            <v>I.H.S</v>
          </cell>
          <cell r="E10" t="str">
            <v>Not respecting safety signage</v>
          </cell>
          <cell r="M10" t="str">
            <v>Abdulaziz Nashi AL QURAID</v>
          </cell>
          <cell r="N10" t="str">
            <v>First Aid Cases</v>
          </cell>
          <cell r="O10" t="str">
            <v>Electrical Safety</v>
          </cell>
        </row>
        <row r="11">
          <cell r="B11" t="str">
            <v>MACE</v>
          </cell>
          <cell r="E11" t="str">
            <v>Walking near unprotected edge</v>
          </cell>
          <cell r="M11" t="str">
            <v>Usama Shahid BUTT</v>
          </cell>
          <cell r="N11" t="str">
            <v>LTA (Lost Time Accident)</v>
          </cell>
          <cell r="O11" t="str">
            <v>Scaffolding</v>
          </cell>
        </row>
        <row r="12">
          <cell r="B12" t="str">
            <v>TAMIMI GLOBAL</v>
          </cell>
          <cell r="E12" t="str">
            <v>Using improper access</v>
          </cell>
          <cell r="M12" t="str">
            <v>Omar SALEH</v>
          </cell>
          <cell r="N12" t="str">
            <v>Task Specific trainings</v>
          </cell>
          <cell r="O12" t="str">
            <v>Lifting Operations</v>
          </cell>
        </row>
        <row r="13">
          <cell r="B13" t="str">
            <v>RED CAMEL</v>
          </cell>
          <cell r="E13" t="str">
            <v>Road Traffic Violation</v>
          </cell>
          <cell r="M13" t="str">
            <v>Rashed ALBLUEY</v>
          </cell>
          <cell r="N13" t="str">
            <v>H&amp;S Meetings Held</v>
          </cell>
          <cell r="O13" t="str">
            <v>Emergency Response</v>
          </cell>
        </row>
        <row r="14">
          <cell r="B14" t="str">
            <v>ARABIAN TOWER</v>
          </cell>
          <cell r="E14" t="str">
            <v>Use of unsafe electrical equipment</v>
          </cell>
          <cell r="M14" t="str">
            <v>Prabhu MUTHU</v>
          </cell>
          <cell r="N14" t="str">
            <v>Drills</v>
          </cell>
          <cell r="O14" t="str">
            <v>Toolbox Talk</v>
          </cell>
        </row>
        <row r="15">
          <cell r="B15" t="str">
            <v>ANNAQ</v>
          </cell>
          <cell r="E15" t="str">
            <v>Horseplay</v>
          </cell>
          <cell r="M15" t="str">
            <v>Gurbanov ATAGELDI</v>
          </cell>
          <cell r="N15" t="str">
            <v>TBT by Production Supervision</v>
          </cell>
          <cell r="O15" t="str">
            <v>Other</v>
          </cell>
        </row>
        <row r="16">
          <cell r="B16" t="str">
            <v>BUILDING ROOTS</v>
          </cell>
          <cell r="E16" t="str">
            <v>Failure to wear safety harness</v>
          </cell>
        </row>
        <row r="17">
          <cell r="B17" t="str">
            <v>SAUDI BAUER</v>
          </cell>
          <cell r="E17" t="str">
            <v>Smoking in non-designated area</v>
          </cell>
        </row>
        <row r="18">
          <cell r="B18" t="str">
            <v>UNITED GULF</v>
          </cell>
          <cell r="E18" t="str">
            <v>Damaging safety provisions</v>
          </cell>
        </row>
        <row r="19">
          <cell r="B19" t="str">
            <v>THIRD PARTY</v>
          </cell>
          <cell r="E19" t="str">
            <v>Other</v>
          </cell>
        </row>
      </sheetData>
      <sheetData sheetId="9"/>
      <sheetData sheetId="10"/>
      <sheetData sheetId="11"/>
      <sheetData sheetId="1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Incidents" displayName="tblIncidents" ref="A1:N26" totalsRowShown="0" headerRowDxfId="18" dataDxfId="16" headerRowBorderDxfId="17" tableBorderDxfId="15" totalsRowBorderDxfId="14">
  <autoFilter ref="A1:N26" xr:uid="{00000000-0009-0000-0100-000001000000}"/>
  <tableColumns count="14">
    <tableColumn id="1" xr3:uid="{00000000-0010-0000-0000-000001000000}" name="Incident Date" dataDxfId="13"/>
    <tableColumn id="2" xr3:uid="{00000000-0010-0000-0000-000002000000}" name="Month" dataDxfId="12"/>
    <tableColumn id="3" xr3:uid="{00000000-0010-0000-0000-000003000000}" name="Time" dataDxfId="11"/>
    <tableColumn id="4" xr3:uid="{00000000-0010-0000-0000-000004000000}" name="Reported By" dataDxfId="10"/>
    <tableColumn id="5" xr3:uid="{00000000-0010-0000-0000-000005000000}" name="What Happened" dataDxfId="9"/>
    <tableColumn id="6" xr3:uid="{00000000-0010-0000-0000-000006000000}" name="Primary Category" dataDxfId="8"/>
    <tableColumn id="7" xr3:uid="{00000000-0010-0000-0000-000007000000}" name="Population" dataDxfId="7"/>
    <tableColumn id="8" xr3:uid="{00000000-0010-0000-0000-000008000000}" name="Zone / Area" dataDxfId="6"/>
    <tableColumn id="9" xr3:uid="{00000000-0010-0000-0000-000009000000}" name="Major risks (If Any)" dataDxfId="5"/>
    <tableColumn id="10" xr3:uid="{00000000-0010-0000-0000-00000A000000}" name="Employee Full Name" dataDxfId="4"/>
    <tableColumn id="11" xr3:uid="{00000000-0010-0000-0000-00000B000000}" name="DaysLost" dataDxfId="3"/>
    <tableColumn id="12" xr3:uid="{00000000-0010-0000-0000-00000C000000}" name="Immediate actions taken" dataDxfId="2"/>
    <tableColumn id="13" xr3:uid="{00000000-0010-0000-0000-00000D000000}" name="Event severity" dataDxfId="1"/>
    <tableColumn id="14" xr3:uid="{00000000-0010-0000-0000-00000E000000}" name="Classification [Inciden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9"/>
  </sheetPr>
  <dimension ref="A1:AD21"/>
  <sheetViews>
    <sheetView tabSelected="1" zoomScaleNormal="100" workbookViewId="0">
      <pane xSplit="3" ySplit="2" topLeftCell="D3" activePane="bottomRight" state="frozen"/>
      <selection pane="topRight" activeCell="D1" sqref="D1"/>
      <selection pane="bottomLeft" activeCell="A3" sqref="A3"/>
      <selection pane="bottomRight" activeCell="P31" sqref="P31"/>
    </sheetView>
  </sheetViews>
  <sheetFormatPr defaultColWidth="8.7265625" defaultRowHeight="14.5" x14ac:dyDescent="0.35"/>
  <cols>
    <col min="1" max="1" width="10.81640625" bestFit="1" customWidth="1"/>
    <col min="2" max="2" width="10.54296875" bestFit="1" customWidth="1"/>
    <col min="3" max="3" width="8" bestFit="1" customWidth="1"/>
    <col min="4" max="4" width="9" bestFit="1" customWidth="1"/>
    <col min="5" max="5" width="3.81640625" bestFit="1" customWidth="1"/>
    <col min="6" max="6" width="5.1796875" bestFit="1" customWidth="1"/>
    <col min="7" max="7" width="3.453125" bestFit="1" customWidth="1"/>
    <col min="8" max="8" width="18.26953125" bestFit="1" customWidth="1"/>
    <col min="9" max="9" width="10.7265625" bestFit="1" customWidth="1"/>
    <col min="10" max="10" width="8.7265625" bestFit="1" customWidth="1"/>
    <col min="11" max="11" width="8.81640625" bestFit="1" customWidth="1"/>
    <col min="12" max="12" width="5.1796875" bestFit="1" customWidth="1"/>
    <col min="13" max="13" width="9.26953125" bestFit="1" customWidth="1"/>
    <col min="14" max="14" width="4.54296875" bestFit="1" customWidth="1"/>
    <col min="15" max="15" width="8.81640625" bestFit="1" customWidth="1"/>
    <col min="16" max="16" width="9.1796875" bestFit="1" customWidth="1"/>
    <col min="17" max="17" width="9.54296875" customWidth="1"/>
    <col min="18" max="18" width="9.1796875" bestFit="1" customWidth="1"/>
    <col min="19" max="19" width="6.26953125" bestFit="1" customWidth="1"/>
    <col min="20" max="20" width="8.7265625" bestFit="1" customWidth="1"/>
    <col min="21" max="21" width="5.81640625" bestFit="1" customWidth="1"/>
    <col min="22" max="22" width="24.1796875" bestFit="1" customWidth="1"/>
    <col min="23" max="23" width="9.1796875" bestFit="1" customWidth="1"/>
    <col min="24" max="24" width="9.453125" bestFit="1" customWidth="1"/>
    <col min="25" max="25" width="6.26953125" bestFit="1" customWidth="1"/>
    <col min="26" max="26" width="5.7265625" bestFit="1" customWidth="1"/>
    <col min="27" max="27" width="8.81640625" bestFit="1" customWidth="1"/>
    <col min="28" max="28" width="14.7265625" bestFit="1" customWidth="1"/>
    <col min="29" max="29" width="9.54296875" customWidth="1"/>
    <col min="30" max="30" width="8.453125" bestFit="1" customWidth="1"/>
  </cols>
  <sheetData>
    <row r="1" spans="1:30" x14ac:dyDescent="0.35">
      <c r="H1" s="2" t="s">
        <v>57</v>
      </c>
      <c r="V1" s="2" t="s">
        <v>58</v>
      </c>
      <c r="AB1" s="2" t="s">
        <v>59</v>
      </c>
    </row>
    <row r="2" spans="1:30" ht="42" customHeight="1" x14ac:dyDescent="0.35">
      <c r="A2" s="44" t="s">
        <v>60</v>
      </c>
      <c r="B2" s="44" t="s">
        <v>61</v>
      </c>
      <c r="C2" s="44" t="s">
        <v>62</v>
      </c>
      <c r="D2" s="88" t="s">
        <v>63</v>
      </c>
      <c r="E2" s="88" t="s">
        <v>64</v>
      </c>
      <c r="F2" s="88" t="s">
        <v>23</v>
      </c>
      <c r="G2" s="88" t="s">
        <v>65</v>
      </c>
      <c r="H2" s="88" t="s">
        <v>66</v>
      </c>
      <c r="I2" s="88" t="s">
        <v>67</v>
      </c>
      <c r="J2" s="88" t="s">
        <v>68</v>
      </c>
      <c r="K2" s="88" t="s">
        <v>51</v>
      </c>
      <c r="L2" s="88" t="s">
        <v>52</v>
      </c>
      <c r="M2" s="88" t="s">
        <v>69</v>
      </c>
      <c r="N2" s="88" t="s">
        <v>70</v>
      </c>
      <c r="O2" s="88" t="s">
        <v>71</v>
      </c>
      <c r="P2" s="88" t="s">
        <v>72</v>
      </c>
      <c r="Q2" s="88" t="s">
        <v>73</v>
      </c>
      <c r="R2" s="88" t="s">
        <v>74</v>
      </c>
      <c r="S2" s="88" t="s">
        <v>75</v>
      </c>
      <c r="T2" s="88" t="s">
        <v>76</v>
      </c>
      <c r="U2" s="88" t="s">
        <v>77</v>
      </c>
      <c r="V2" s="88" t="s">
        <v>78</v>
      </c>
      <c r="W2" s="88" t="s">
        <v>79</v>
      </c>
      <c r="X2" s="88" t="s">
        <v>80</v>
      </c>
      <c r="Y2" s="88" t="s">
        <v>81</v>
      </c>
      <c r="Z2" s="88" t="s">
        <v>82</v>
      </c>
      <c r="AA2" s="88" t="s">
        <v>83</v>
      </c>
      <c r="AB2" s="88" t="s">
        <v>84</v>
      </c>
      <c r="AC2" s="88" t="s">
        <v>85</v>
      </c>
      <c r="AD2" s="88" t="s">
        <v>86</v>
      </c>
    </row>
    <row r="3" spans="1:30" x14ac:dyDescent="0.35">
      <c r="A3" s="82">
        <v>45658</v>
      </c>
      <c r="B3" s="83">
        <v>0</v>
      </c>
      <c r="C3" s="84">
        <v>0</v>
      </c>
      <c r="D3" s="85">
        <f>SUMIFS('Accident logs'!$K:$K,'Accident logs'!$B:$B,$A3)</f>
        <v>0</v>
      </c>
      <c r="E3" s="85">
        <f>COUNTIFS('Accident logs'!$B:$B,$A3,'Accident logs'!$F:$F,"Near Miss")</f>
        <v>0</v>
      </c>
      <c r="F3" s="85">
        <f>COUNTIFS('Accident logs'!$B:$B,$A3,'Accident logs'!$M:$M,"MRN")</f>
        <v>0</v>
      </c>
      <c r="G3" s="85">
        <f>COUNTIFS('Accident logs'!$B:$B,$A3,'Accident logs'!$F:$F,"First Aid")</f>
        <v>0</v>
      </c>
      <c r="H3" s="85">
        <f>COUNTIFS('Accident logs'!$B:$B,$A3,'Accident logs'!$N:$N,"Road Traffic Accident")</f>
        <v>0</v>
      </c>
      <c r="I3" s="85">
        <f>COUNTIFS('Accident logs'!$B:$B,$A3,'Accident logs'!$M:$M,"Dangerous Occurance")</f>
        <v>0</v>
      </c>
      <c r="J3" s="85">
        <f>COUNTIFS('Accident logs'!$B:$B,$A3,'Accident logs'!$F:$F,"Property Damage")</f>
        <v>0</v>
      </c>
      <c r="K3" s="85">
        <f>COUNTIFS('Accident logs'!$B:$B,$A3,'Accident logs'!$F:$F,"Severe Accident")</f>
        <v>0</v>
      </c>
      <c r="L3" s="85">
        <f>COUNTIFS('Accident logs'!$B:$B,$A3,'Accident logs'!$M:$M,"MRA")</f>
        <v>0</v>
      </c>
      <c r="M3" s="85">
        <f>COUNTIFS('Accident logs'!$B:$B,$A3,'Accident logs'!$N:$N,"Fatality")</f>
        <v>0</v>
      </c>
      <c r="N3" s="85">
        <f>COUNTIFS('Accident logs'!$B:$B,$A3,'Accident logs'!$F:$F,"LTA")</f>
        <v>0</v>
      </c>
      <c r="O3" s="85">
        <f t="shared" ref="O3:O21" si="0">$N3+$G3+$K3</f>
        <v>0</v>
      </c>
      <c r="P3" s="86">
        <f t="shared" ref="P3:P21" si="1">SUMIFS($C:$C,$A:$A,"&gt;="&amp;EDATE($A3,-11),$A:$A,"&lt;="&amp;$A3)</f>
        <v>0</v>
      </c>
      <c r="Q3" s="85">
        <f t="shared" ref="Q3:Q21" si="2">SUMIFS($D:$D,$A:$A,"&gt;="&amp;EDATE($A3,-11),$A:$A,"&lt;="&amp;$A3)</f>
        <v>0</v>
      </c>
      <c r="R3" s="85">
        <f t="shared" ref="R3:R21" si="3">SUMIFS($E:$E,$A:$A,"&gt;="&amp;EDATE($A3,-11),$A:$A,"&lt;="&amp;$A3)</f>
        <v>0</v>
      </c>
      <c r="S3" s="85">
        <f t="shared" ref="S3:S21" si="4">SUMIFS($F:$F,$A:$A,"&gt;="&amp;EDATE($A3,-11),$A:$A,"&lt;="&amp;$A3)</f>
        <v>0</v>
      </c>
      <c r="T3" s="85">
        <f t="shared" ref="T3:T21" si="5">SUMIFS($G:$G,$A:$A,"&gt;="&amp;EDATE($A3,-11),$A:$A,"&lt;="&amp;$A3)</f>
        <v>0</v>
      </c>
      <c r="U3" s="85">
        <f t="shared" ref="U3:U21" si="6">SUMIFS($H:$H,$A:$A,"&gt;="&amp;EDATE($A3,-11),$A:$A,"&lt;="&amp;$A3)</f>
        <v>0</v>
      </c>
      <c r="V3" s="85">
        <f t="shared" ref="V3:V21" si="7">SUMIFS($I:$I,$A:$A,"&gt;="&amp;EDATE($A3,-11),$A:$A,"&lt;="&amp;$A3)</f>
        <v>0</v>
      </c>
      <c r="W3" s="85">
        <f t="shared" ref="W3:W21" si="8">SUMIFS($J:$J,$A:$A,"&gt;="&amp;EDATE($A3,-11),$A:$A,"&lt;="&amp;$A3)</f>
        <v>0</v>
      </c>
      <c r="X3" s="85">
        <f t="shared" ref="X3:X21" si="9">SUMIFS($K:$K,$A:$A,"&gt;="&amp;EDATE($A3,-11),$A:$A,"&lt;="&amp;$A3)</f>
        <v>0</v>
      </c>
      <c r="Y3" s="85">
        <f t="shared" ref="Y3:Y21" si="10">SUMIFS($L:$L,$A:$A,"&gt;="&amp;EDATE($A3,-11),$A:$A,"&lt;="&amp;$A3)</f>
        <v>0</v>
      </c>
      <c r="Z3" s="85">
        <f t="shared" ref="Z3:Z21" si="11">SUMIFS($N:$N,$A:$A,"&gt;="&amp;EDATE($A3,-11),$A:$A,"&lt;="&amp;$A3)</f>
        <v>0</v>
      </c>
      <c r="AA3" s="85">
        <f t="shared" ref="AA3:AA21" si="12">$Z3+$T3+$X3</f>
        <v>0</v>
      </c>
      <c r="AB3" s="87">
        <f t="shared" ref="AB3:AB21" si="13">IF($P3=0,0,$AA3*1000000/$P3)</f>
        <v>0</v>
      </c>
      <c r="AC3" s="87">
        <f t="shared" ref="AC3:AC21" si="14">IF($P3=0,0,($Z3+$X3)*1000000/$P3)</f>
        <v>0</v>
      </c>
      <c r="AD3" s="89">
        <f t="shared" ref="AD3:AD21" si="15">IF($P3=0,0,$Q3*1000/$P3)</f>
        <v>0</v>
      </c>
    </row>
    <row r="4" spans="1:30" x14ac:dyDescent="0.35">
      <c r="A4" s="81">
        <v>45689</v>
      </c>
      <c r="B4" s="80">
        <v>0</v>
      </c>
      <c r="C4" s="76">
        <v>0</v>
      </c>
      <c r="D4" s="77">
        <f>SUMIFS('Accident logs'!$K:$K,'Accident logs'!$B:$B,$A4)</f>
        <v>0</v>
      </c>
      <c r="E4" s="77">
        <f>COUNTIFS('Accident logs'!$B:$B,$A4,'Accident logs'!$F:$F,"Near Miss")</f>
        <v>0</v>
      </c>
      <c r="F4" s="77">
        <f>COUNTIFS('Accident logs'!$B:$B,$A4,'Accident logs'!$M:$M,"MRN")</f>
        <v>0</v>
      </c>
      <c r="G4" s="77">
        <f>COUNTIFS('Accident logs'!$B:$B,$A4,'Accident logs'!$F:$F,"First Aid")</f>
        <v>0</v>
      </c>
      <c r="H4" s="77">
        <f>COUNTIFS('Accident logs'!$B:$B,$A4,'Accident logs'!$N:$N,"Road Traffic Accident")</f>
        <v>0</v>
      </c>
      <c r="I4" s="77">
        <f>COUNTIFS('Accident logs'!$B:$B,$A4,'Accident logs'!$M:$M,"Dangerous Occurance")</f>
        <v>0</v>
      </c>
      <c r="J4" s="77">
        <f>COUNTIFS('Accident logs'!$B:$B,$A4,'Accident logs'!$F:$F,"Property Damage")</f>
        <v>0</v>
      </c>
      <c r="K4" s="77">
        <f>COUNTIFS('Accident logs'!$B:$B,$A4,'Accident logs'!$F:$F,"Severe Accident")</f>
        <v>0</v>
      </c>
      <c r="L4" s="77">
        <f>COUNTIFS('Accident logs'!$B:$B,$A4,'Accident logs'!$M:$M,"MRA")</f>
        <v>0</v>
      </c>
      <c r="M4" s="77">
        <f>COUNTIFS('Accident logs'!$B:$B,$A4,'Accident logs'!$N:$N,"Fatality")</f>
        <v>0</v>
      </c>
      <c r="N4" s="77">
        <f>COUNTIFS('Accident logs'!$B:$B,$A4,'Accident logs'!$F:$F,"LTA")</f>
        <v>0</v>
      </c>
      <c r="O4" s="77">
        <f t="shared" si="0"/>
        <v>0</v>
      </c>
      <c r="P4" s="78">
        <f t="shared" si="1"/>
        <v>0</v>
      </c>
      <c r="Q4" s="77">
        <f t="shared" si="2"/>
        <v>0</v>
      </c>
      <c r="R4" s="77">
        <f t="shared" si="3"/>
        <v>0</v>
      </c>
      <c r="S4" s="77">
        <f t="shared" si="4"/>
        <v>0</v>
      </c>
      <c r="T4" s="77">
        <f t="shared" si="5"/>
        <v>0</v>
      </c>
      <c r="U4" s="77">
        <f t="shared" si="6"/>
        <v>0</v>
      </c>
      <c r="V4" s="77">
        <f t="shared" si="7"/>
        <v>0</v>
      </c>
      <c r="W4" s="77">
        <f t="shared" si="8"/>
        <v>0</v>
      </c>
      <c r="X4" s="77">
        <f t="shared" si="9"/>
        <v>0</v>
      </c>
      <c r="Y4" s="77">
        <f t="shared" si="10"/>
        <v>0</v>
      </c>
      <c r="Z4" s="77">
        <f t="shared" si="11"/>
        <v>0</v>
      </c>
      <c r="AA4" s="77">
        <f t="shared" si="12"/>
        <v>0</v>
      </c>
      <c r="AB4" s="79">
        <f t="shared" si="13"/>
        <v>0</v>
      </c>
      <c r="AC4" s="79">
        <f t="shared" si="14"/>
        <v>0</v>
      </c>
      <c r="AD4" s="90">
        <f t="shared" si="15"/>
        <v>0</v>
      </c>
    </row>
    <row r="5" spans="1:30" x14ac:dyDescent="0.35">
      <c r="A5" s="81">
        <v>45717</v>
      </c>
      <c r="B5" s="80">
        <v>0</v>
      </c>
      <c r="C5" s="76">
        <v>0</v>
      </c>
      <c r="D5" s="77">
        <f>SUMIFS('Accident logs'!$K:$K,'Accident logs'!$B:$B,$A5)</f>
        <v>0</v>
      </c>
      <c r="E5" s="77">
        <f>COUNTIFS('Accident logs'!$B:$B,$A5,'Accident logs'!$F:$F,"Near Miss")</f>
        <v>0</v>
      </c>
      <c r="F5" s="77">
        <f>COUNTIFS('Accident logs'!$B:$B,$A5,'Accident logs'!$M:$M,"MRN")</f>
        <v>0</v>
      </c>
      <c r="G5" s="77">
        <f>COUNTIFS('Accident logs'!$B:$B,$A5,'Accident logs'!$F:$F,"First Aid")</f>
        <v>0</v>
      </c>
      <c r="H5" s="77">
        <f>COUNTIFS('Accident logs'!$B:$B,$A5,'Accident logs'!$N:$N,"Road Traffic Accident")</f>
        <v>0</v>
      </c>
      <c r="I5" s="77">
        <f>COUNTIFS('Accident logs'!$B:$B,$A5,'Accident logs'!$M:$M,"Dangerous Occurance")</f>
        <v>0</v>
      </c>
      <c r="J5" s="77">
        <f>COUNTIFS('Accident logs'!$B:$B,$A5,'Accident logs'!$F:$F,"Property Damage")</f>
        <v>0</v>
      </c>
      <c r="K5" s="77">
        <f>COUNTIFS('Accident logs'!$B:$B,$A5,'Accident logs'!$F:$F,"Severe Accident")</f>
        <v>0</v>
      </c>
      <c r="L5" s="77">
        <f>COUNTIFS('Accident logs'!$B:$B,$A5,'Accident logs'!$M:$M,"MRA")</f>
        <v>0</v>
      </c>
      <c r="M5" s="77">
        <f>COUNTIFS('Accident logs'!$B:$B,$A5,'Accident logs'!$N:$N,"Fatality")</f>
        <v>0</v>
      </c>
      <c r="N5" s="77">
        <f>COUNTIFS('Accident logs'!$B:$B,$A5,'Accident logs'!$F:$F,"LTA")</f>
        <v>0</v>
      </c>
      <c r="O5" s="77">
        <f t="shared" si="0"/>
        <v>0</v>
      </c>
      <c r="P5" s="78">
        <f t="shared" si="1"/>
        <v>0</v>
      </c>
      <c r="Q5" s="77">
        <f t="shared" si="2"/>
        <v>0</v>
      </c>
      <c r="R5" s="77">
        <f t="shared" si="3"/>
        <v>0</v>
      </c>
      <c r="S5" s="77">
        <f t="shared" si="4"/>
        <v>0</v>
      </c>
      <c r="T5" s="77">
        <f t="shared" si="5"/>
        <v>0</v>
      </c>
      <c r="U5" s="77">
        <f t="shared" si="6"/>
        <v>0</v>
      </c>
      <c r="V5" s="77">
        <f t="shared" si="7"/>
        <v>0</v>
      </c>
      <c r="W5" s="77">
        <f t="shared" si="8"/>
        <v>0</v>
      </c>
      <c r="X5" s="77">
        <f t="shared" si="9"/>
        <v>0</v>
      </c>
      <c r="Y5" s="77">
        <f t="shared" si="10"/>
        <v>0</v>
      </c>
      <c r="Z5" s="77">
        <f t="shared" si="11"/>
        <v>0</v>
      </c>
      <c r="AA5" s="77">
        <f t="shared" si="12"/>
        <v>0</v>
      </c>
      <c r="AB5" s="79">
        <f t="shared" si="13"/>
        <v>0</v>
      </c>
      <c r="AC5" s="79">
        <f t="shared" si="14"/>
        <v>0</v>
      </c>
      <c r="AD5" s="90">
        <f t="shared" si="15"/>
        <v>0</v>
      </c>
    </row>
    <row r="6" spans="1:30" x14ac:dyDescent="0.35">
      <c r="A6" s="81">
        <v>45748</v>
      </c>
      <c r="B6" s="80">
        <v>0</v>
      </c>
      <c r="C6" s="76">
        <v>0</v>
      </c>
      <c r="D6" s="77">
        <f>SUMIFS('Accident logs'!$K:$K,'Accident logs'!$B:$B,$A6)</f>
        <v>0</v>
      </c>
      <c r="E6" s="77">
        <f>COUNTIFS('Accident logs'!$B:$B,$A6,'Accident logs'!$F:$F,"Near Miss")</f>
        <v>0</v>
      </c>
      <c r="F6" s="77">
        <f>COUNTIFS('Accident logs'!$B:$B,$A6,'Accident logs'!$M:$M,"MRN")</f>
        <v>0</v>
      </c>
      <c r="G6" s="77">
        <f>COUNTIFS('Accident logs'!$B:$B,$A6,'Accident logs'!$F:$F,"First Aid")</f>
        <v>0</v>
      </c>
      <c r="H6" s="77">
        <f>COUNTIFS('Accident logs'!$B:$B,$A6,'Accident logs'!$N:$N,"Road Traffic Accident")</f>
        <v>0</v>
      </c>
      <c r="I6" s="77">
        <f>COUNTIFS('Accident logs'!$B:$B,$A6,'Accident logs'!$M:$M,"Dangerous Occurance")</f>
        <v>0</v>
      </c>
      <c r="J6" s="77">
        <f>COUNTIFS('Accident logs'!$B:$B,$A6,'Accident logs'!$F:$F,"Property Damage")</f>
        <v>0</v>
      </c>
      <c r="K6" s="77">
        <f>COUNTIFS('Accident logs'!$B:$B,$A6,'Accident logs'!$F:$F,"Severe Accident")</f>
        <v>0</v>
      </c>
      <c r="L6" s="77">
        <f>COUNTIFS('Accident logs'!$B:$B,$A6,'Accident logs'!$M:$M,"MRA")</f>
        <v>0</v>
      </c>
      <c r="M6" s="77">
        <f>COUNTIFS('Accident logs'!$B:$B,$A6,'Accident logs'!$N:$N,"Fatality")</f>
        <v>0</v>
      </c>
      <c r="N6" s="77">
        <f>COUNTIFS('Accident logs'!$B:$B,$A6,'Accident logs'!$F:$F,"LTA")</f>
        <v>0</v>
      </c>
      <c r="O6" s="77">
        <f t="shared" si="0"/>
        <v>0</v>
      </c>
      <c r="P6" s="78">
        <f t="shared" si="1"/>
        <v>0</v>
      </c>
      <c r="Q6" s="77">
        <f t="shared" si="2"/>
        <v>0</v>
      </c>
      <c r="R6" s="77">
        <f t="shared" si="3"/>
        <v>0</v>
      </c>
      <c r="S6" s="77">
        <f t="shared" si="4"/>
        <v>0</v>
      </c>
      <c r="T6" s="77">
        <f t="shared" si="5"/>
        <v>0</v>
      </c>
      <c r="U6" s="77">
        <f t="shared" si="6"/>
        <v>0</v>
      </c>
      <c r="V6" s="77">
        <f t="shared" si="7"/>
        <v>0</v>
      </c>
      <c r="W6" s="77">
        <f t="shared" si="8"/>
        <v>0</v>
      </c>
      <c r="X6" s="77">
        <f t="shared" si="9"/>
        <v>0</v>
      </c>
      <c r="Y6" s="77">
        <f t="shared" si="10"/>
        <v>0</v>
      </c>
      <c r="Z6" s="77">
        <f t="shared" si="11"/>
        <v>0</v>
      </c>
      <c r="AA6" s="77">
        <f t="shared" si="12"/>
        <v>0</v>
      </c>
      <c r="AB6" s="79">
        <f t="shared" si="13"/>
        <v>0</v>
      </c>
      <c r="AC6" s="79">
        <f t="shared" si="14"/>
        <v>0</v>
      </c>
      <c r="AD6" s="90">
        <f t="shared" si="15"/>
        <v>0</v>
      </c>
    </row>
    <row r="7" spans="1:30" x14ac:dyDescent="0.35">
      <c r="A7" s="81">
        <v>45778</v>
      </c>
      <c r="B7" s="80">
        <v>0</v>
      </c>
      <c r="C7" s="76">
        <v>0</v>
      </c>
      <c r="D7" s="77">
        <f>SUMIFS('Accident logs'!$K:$K,'Accident logs'!$B:$B,$A7)</f>
        <v>0</v>
      </c>
      <c r="E7" s="77">
        <f>COUNTIFS('Accident logs'!$B:$B,$A7,'Accident logs'!$F:$F,"Near Miss")</f>
        <v>0</v>
      </c>
      <c r="F7" s="77">
        <f>COUNTIFS('Accident logs'!$B:$B,$A7,'Accident logs'!$M:$M,"MRN")</f>
        <v>0</v>
      </c>
      <c r="G7" s="77">
        <f>COUNTIFS('Accident logs'!$B:$B,$A7,'Accident logs'!$F:$F,"First Aid")</f>
        <v>0</v>
      </c>
      <c r="H7" s="77">
        <f>COUNTIFS('Accident logs'!$B:$B,$A7,'Accident logs'!$N:$N,"Road Traffic Accident")</f>
        <v>0</v>
      </c>
      <c r="I7" s="77">
        <f>COUNTIFS('Accident logs'!$B:$B,$A7,'Accident logs'!$M:$M,"Dangerous Occurance")</f>
        <v>0</v>
      </c>
      <c r="J7" s="77">
        <f>COUNTIFS('Accident logs'!$B:$B,$A7,'Accident logs'!$F:$F,"Property Damage")</f>
        <v>0</v>
      </c>
      <c r="K7" s="77">
        <f>COUNTIFS('Accident logs'!$B:$B,$A7,'Accident logs'!$F:$F,"Severe Accident")</f>
        <v>0</v>
      </c>
      <c r="L7" s="77">
        <f>COUNTIFS('Accident logs'!$B:$B,$A7,'Accident logs'!$M:$M,"MRA")</f>
        <v>0</v>
      </c>
      <c r="M7" s="77">
        <f>COUNTIFS('Accident logs'!$B:$B,$A7,'Accident logs'!$N:$N,"Fatality")</f>
        <v>0</v>
      </c>
      <c r="N7" s="77">
        <f>COUNTIFS('Accident logs'!$B:$B,$A7,'Accident logs'!$F:$F,"LTA")</f>
        <v>0</v>
      </c>
      <c r="O7" s="77">
        <f t="shared" si="0"/>
        <v>0</v>
      </c>
      <c r="P7" s="78">
        <f t="shared" si="1"/>
        <v>0</v>
      </c>
      <c r="Q7" s="77">
        <f t="shared" si="2"/>
        <v>0</v>
      </c>
      <c r="R7" s="77">
        <f t="shared" si="3"/>
        <v>0</v>
      </c>
      <c r="S7" s="77">
        <f t="shared" si="4"/>
        <v>0</v>
      </c>
      <c r="T7" s="77">
        <f t="shared" si="5"/>
        <v>0</v>
      </c>
      <c r="U7" s="77">
        <f t="shared" si="6"/>
        <v>0</v>
      </c>
      <c r="V7" s="77">
        <f t="shared" si="7"/>
        <v>0</v>
      </c>
      <c r="W7" s="77">
        <f t="shared" si="8"/>
        <v>0</v>
      </c>
      <c r="X7" s="77">
        <f t="shared" si="9"/>
        <v>0</v>
      </c>
      <c r="Y7" s="77">
        <f t="shared" si="10"/>
        <v>0</v>
      </c>
      <c r="Z7" s="77">
        <f t="shared" si="11"/>
        <v>0</v>
      </c>
      <c r="AA7" s="77">
        <f t="shared" si="12"/>
        <v>0</v>
      </c>
      <c r="AB7" s="79">
        <f t="shared" si="13"/>
        <v>0</v>
      </c>
      <c r="AC7" s="79">
        <f t="shared" si="14"/>
        <v>0</v>
      </c>
      <c r="AD7" s="90">
        <f t="shared" si="15"/>
        <v>0</v>
      </c>
    </row>
    <row r="8" spans="1:30" x14ac:dyDescent="0.35">
      <c r="A8" s="81">
        <v>45809</v>
      </c>
      <c r="B8" s="80">
        <v>0</v>
      </c>
      <c r="C8" s="76">
        <v>0</v>
      </c>
      <c r="D8" s="77">
        <f>SUMIFS('Accident logs'!$K:$K,'Accident logs'!$B:$B,$A8)</f>
        <v>0</v>
      </c>
      <c r="E8" s="77">
        <f>COUNTIFS('Accident logs'!$B:$B,$A8,'Accident logs'!$F:$F,"Near Miss")</f>
        <v>0</v>
      </c>
      <c r="F8" s="77">
        <f>COUNTIFS('Accident logs'!$B:$B,$A8,'Accident logs'!$M:$M,"MRN")</f>
        <v>0</v>
      </c>
      <c r="G8" s="77">
        <f>COUNTIFS('Accident logs'!$B:$B,$A8,'Accident logs'!$F:$F,"First Aid")</f>
        <v>0</v>
      </c>
      <c r="H8" s="77">
        <f>COUNTIFS('Accident logs'!$B:$B,$A8,'Accident logs'!$N:$N,"Road Traffic Accident")</f>
        <v>0</v>
      </c>
      <c r="I8" s="77">
        <f>COUNTIFS('Accident logs'!$B:$B,$A8,'Accident logs'!$M:$M,"Dangerous Occurance")</f>
        <v>0</v>
      </c>
      <c r="J8" s="77">
        <f>COUNTIFS('Accident logs'!$B:$B,$A8,'Accident logs'!$F:$F,"Property Damage")</f>
        <v>0</v>
      </c>
      <c r="K8" s="77">
        <f>COUNTIFS('Accident logs'!$B:$B,$A8,'Accident logs'!$F:$F,"Severe Accident")</f>
        <v>0</v>
      </c>
      <c r="L8" s="77">
        <f>COUNTIFS('Accident logs'!$B:$B,$A8,'Accident logs'!$M:$M,"MRA")</f>
        <v>0</v>
      </c>
      <c r="M8" s="77">
        <f>COUNTIFS('Accident logs'!$B:$B,$A8,'Accident logs'!$N:$N,"Fatality")</f>
        <v>0</v>
      </c>
      <c r="N8" s="77">
        <f>COUNTIFS('Accident logs'!$B:$B,$A8,'Accident logs'!$F:$F,"LTA")</f>
        <v>0</v>
      </c>
      <c r="O8" s="77">
        <f t="shared" si="0"/>
        <v>0</v>
      </c>
      <c r="P8" s="78">
        <f t="shared" si="1"/>
        <v>0</v>
      </c>
      <c r="Q8" s="77">
        <f t="shared" si="2"/>
        <v>0</v>
      </c>
      <c r="R8" s="77">
        <f t="shared" si="3"/>
        <v>0</v>
      </c>
      <c r="S8" s="77">
        <f t="shared" si="4"/>
        <v>0</v>
      </c>
      <c r="T8" s="77">
        <f t="shared" si="5"/>
        <v>0</v>
      </c>
      <c r="U8" s="77">
        <f t="shared" si="6"/>
        <v>0</v>
      </c>
      <c r="V8" s="77">
        <f t="shared" si="7"/>
        <v>0</v>
      </c>
      <c r="W8" s="77">
        <f t="shared" si="8"/>
        <v>0</v>
      </c>
      <c r="X8" s="77">
        <f t="shared" si="9"/>
        <v>0</v>
      </c>
      <c r="Y8" s="77">
        <f t="shared" si="10"/>
        <v>0</v>
      </c>
      <c r="Z8" s="77">
        <f t="shared" si="11"/>
        <v>0</v>
      </c>
      <c r="AA8" s="77">
        <f t="shared" si="12"/>
        <v>0</v>
      </c>
      <c r="AB8" s="79">
        <f t="shared" si="13"/>
        <v>0</v>
      </c>
      <c r="AC8" s="79">
        <f t="shared" si="14"/>
        <v>0</v>
      </c>
      <c r="AD8" s="90">
        <f t="shared" si="15"/>
        <v>0</v>
      </c>
    </row>
    <row r="9" spans="1:30" x14ac:dyDescent="0.35">
      <c r="A9" s="81">
        <v>45839</v>
      </c>
      <c r="B9" s="80">
        <v>0</v>
      </c>
      <c r="C9" s="76">
        <v>0</v>
      </c>
      <c r="D9" s="77">
        <f>SUMIFS('Accident logs'!$K:$K,'Accident logs'!$B:$B,$A9)</f>
        <v>0</v>
      </c>
      <c r="E9" s="77">
        <f>COUNTIFS('Accident logs'!$B:$B,$A9,'Accident logs'!$F:$F,"Near Miss")</f>
        <v>0</v>
      </c>
      <c r="F9" s="77">
        <f>COUNTIFS('Accident logs'!$B:$B,$A9,'Accident logs'!$M:$M,"MRN")</f>
        <v>0</v>
      </c>
      <c r="G9" s="77">
        <f>COUNTIFS('Accident logs'!$B:$B,$A9,'Accident logs'!$F:$F,"First Aid")</f>
        <v>0</v>
      </c>
      <c r="H9" s="77">
        <f>COUNTIFS('Accident logs'!$B:$B,$A9,'Accident logs'!$N:$N,"Road Traffic Accident")</f>
        <v>0</v>
      </c>
      <c r="I9" s="77">
        <f>COUNTIFS('Accident logs'!$B:$B,$A9,'Accident logs'!$M:$M,"Dangerous Occurance")</f>
        <v>0</v>
      </c>
      <c r="J9" s="77">
        <f>COUNTIFS('Accident logs'!$B:$B,$A9,'Accident logs'!$F:$F,"Property Damage")</f>
        <v>0</v>
      </c>
      <c r="K9" s="77">
        <f>COUNTIFS('Accident logs'!$B:$B,$A9,'Accident logs'!$F:$F,"Severe Accident")</f>
        <v>0</v>
      </c>
      <c r="L9" s="77">
        <f>COUNTIFS('Accident logs'!$B:$B,$A9,'Accident logs'!$M:$M,"MRA")</f>
        <v>0</v>
      </c>
      <c r="M9" s="77">
        <f>COUNTIFS('Accident logs'!$B:$B,$A9,'Accident logs'!$N:$N,"Fatality")</f>
        <v>0</v>
      </c>
      <c r="N9" s="77">
        <f>COUNTIFS('Accident logs'!$B:$B,$A9,'Accident logs'!$F:$F,"LTA")</f>
        <v>0</v>
      </c>
      <c r="O9" s="77">
        <f t="shared" si="0"/>
        <v>0</v>
      </c>
      <c r="P9" s="78">
        <f t="shared" si="1"/>
        <v>0</v>
      </c>
      <c r="Q9" s="77">
        <f t="shared" si="2"/>
        <v>0</v>
      </c>
      <c r="R9" s="77">
        <f t="shared" si="3"/>
        <v>0</v>
      </c>
      <c r="S9" s="77">
        <f t="shared" si="4"/>
        <v>0</v>
      </c>
      <c r="T9" s="77">
        <f t="shared" si="5"/>
        <v>0</v>
      </c>
      <c r="U9" s="77">
        <f t="shared" si="6"/>
        <v>0</v>
      </c>
      <c r="V9" s="77">
        <f t="shared" si="7"/>
        <v>0</v>
      </c>
      <c r="W9" s="77">
        <f t="shared" si="8"/>
        <v>0</v>
      </c>
      <c r="X9" s="77">
        <f t="shared" si="9"/>
        <v>0</v>
      </c>
      <c r="Y9" s="77">
        <f t="shared" si="10"/>
        <v>0</v>
      </c>
      <c r="Z9" s="77">
        <f t="shared" si="11"/>
        <v>0</v>
      </c>
      <c r="AA9" s="77">
        <f t="shared" si="12"/>
        <v>0</v>
      </c>
      <c r="AB9" s="79">
        <f t="shared" si="13"/>
        <v>0</v>
      </c>
      <c r="AC9" s="79">
        <f t="shared" si="14"/>
        <v>0</v>
      </c>
      <c r="AD9" s="90">
        <f t="shared" si="15"/>
        <v>0</v>
      </c>
    </row>
    <row r="10" spans="1:30" x14ac:dyDescent="0.35">
      <c r="A10" s="81">
        <v>45870</v>
      </c>
      <c r="B10" s="80">
        <v>0</v>
      </c>
      <c r="C10" s="76">
        <v>0</v>
      </c>
      <c r="D10" s="77">
        <f>SUMIFS('Accident logs'!$K:$K,'Accident logs'!$B:$B,$A10)</f>
        <v>0</v>
      </c>
      <c r="E10" s="77">
        <f>COUNTIFS('Accident logs'!$B:$B,$A10,'Accident logs'!$F:$F,"Near Miss")</f>
        <v>0</v>
      </c>
      <c r="F10" s="77">
        <f>COUNTIFS('Accident logs'!$B:$B,$A10,'Accident logs'!$M:$M,"MRN")</f>
        <v>0</v>
      </c>
      <c r="G10" s="77">
        <f>COUNTIFS('Accident logs'!$B:$B,$A10,'Accident logs'!$F:$F,"First Aid")</f>
        <v>0</v>
      </c>
      <c r="H10" s="77">
        <f>COUNTIFS('Accident logs'!$B:$B,$A10,'Accident logs'!$N:$N,"Road Traffic Accident")</f>
        <v>0</v>
      </c>
      <c r="I10" s="77">
        <f>COUNTIFS('Accident logs'!$B:$B,$A10,'Accident logs'!$M:$M,"Dangerous Occurance")</f>
        <v>0</v>
      </c>
      <c r="J10" s="77">
        <f>COUNTIFS('Accident logs'!$B:$B,$A10,'Accident logs'!$F:$F,"Property Damage")</f>
        <v>0</v>
      </c>
      <c r="K10" s="77">
        <f>COUNTIFS('Accident logs'!$B:$B,$A10,'Accident logs'!$F:$F,"Severe Accident")</f>
        <v>0</v>
      </c>
      <c r="L10" s="77">
        <f>COUNTIFS('Accident logs'!$B:$B,$A10,'Accident logs'!$M:$M,"MRA")</f>
        <v>0</v>
      </c>
      <c r="M10" s="77">
        <f>COUNTIFS('Accident logs'!$B:$B,$A10,'Accident logs'!$N:$N,"Fatality")</f>
        <v>0</v>
      </c>
      <c r="N10" s="77">
        <f>COUNTIFS('Accident logs'!$B:$B,$A10,'Accident logs'!$F:$F,"LTA")</f>
        <v>0</v>
      </c>
      <c r="O10" s="77">
        <f t="shared" si="0"/>
        <v>0</v>
      </c>
      <c r="P10" s="78">
        <f t="shared" si="1"/>
        <v>0</v>
      </c>
      <c r="Q10" s="77">
        <f t="shared" si="2"/>
        <v>0</v>
      </c>
      <c r="R10" s="77">
        <f t="shared" si="3"/>
        <v>0</v>
      </c>
      <c r="S10" s="77">
        <f t="shared" si="4"/>
        <v>0</v>
      </c>
      <c r="T10" s="77">
        <f t="shared" si="5"/>
        <v>0</v>
      </c>
      <c r="U10" s="77">
        <f t="shared" si="6"/>
        <v>0</v>
      </c>
      <c r="V10" s="77">
        <f t="shared" si="7"/>
        <v>0</v>
      </c>
      <c r="W10" s="77">
        <f t="shared" si="8"/>
        <v>0</v>
      </c>
      <c r="X10" s="77">
        <f t="shared" si="9"/>
        <v>0</v>
      </c>
      <c r="Y10" s="77">
        <f t="shared" si="10"/>
        <v>0</v>
      </c>
      <c r="Z10" s="77">
        <f t="shared" si="11"/>
        <v>0</v>
      </c>
      <c r="AA10" s="77">
        <f t="shared" si="12"/>
        <v>0</v>
      </c>
      <c r="AB10" s="79">
        <f t="shared" si="13"/>
        <v>0</v>
      </c>
      <c r="AC10" s="79">
        <f t="shared" si="14"/>
        <v>0</v>
      </c>
      <c r="AD10" s="90">
        <f t="shared" si="15"/>
        <v>0</v>
      </c>
    </row>
    <row r="11" spans="1:30" x14ac:dyDescent="0.35">
      <c r="A11" s="81">
        <v>45901</v>
      </c>
      <c r="B11" s="80">
        <v>0</v>
      </c>
      <c r="C11" s="76">
        <v>0</v>
      </c>
      <c r="D11" s="77">
        <f>SUMIFS('Accident logs'!$K:$K,'Accident logs'!$B:$B,$A11)</f>
        <v>0</v>
      </c>
      <c r="E11" s="77">
        <f>COUNTIFS('Accident logs'!$B:$B,$A11,'Accident logs'!$F:$F,"Near Miss")</f>
        <v>0</v>
      </c>
      <c r="F11" s="77">
        <f>COUNTIFS('Accident logs'!$B:$B,$A11,'Accident logs'!$M:$M,"MRN")</f>
        <v>0</v>
      </c>
      <c r="G11" s="77">
        <f>COUNTIFS('Accident logs'!$B:$B,$A11,'Accident logs'!$F:$F,"First Aid")</f>
        <v>0</v>
      </c>
      <c r="H11" s="77">
        <f>COUNTIFS('Accident logs'!$B:$B,$A11,'Accident logs'!$N:$N,"Road Traffic Accident")</f>
        <v>0</v>
      </c>
      <c r="I11" s="77">
        <f>COUNTIFS('Accident logs'!$B:$B,$A11,'Accident logs'!$M:$M,"Dangerous Occurance")</f>
        <v>0</v>
      </c>
      <c r="J11" s="77">
        <f>COUNTIFS('Accident logs'!$B:$B,$A11,'Accident logs'!$F:$F,"Property Damage")</f>
        <v>0</v>
      </c>
      <c r="K11" s="77">
        <f>COUNTIFS('Accident logs'!$B:$B,$A11,'Accident logs'!$F:$F,"Severe Accident")</f>
        <v>0</v>
      </c>
      <c r="L11" s="77">
        <f>COUNTIFS('Accident logs'!$B:$B,$A11,'Accident logs'!$M:$M,"MRA")</f>
        <v>0</v>
      </c>
      <c r="M11" s="77">
        <f>COUNTIFS('Accident logs'!$B:$B,$A11,'Accident logs'!$N:$N,"Fatality")</f>
        <v>0</v>
      </c>
      <c r="N11" s="77">
        <f>COUNTIFS('Accident logs'!$B:$B,$A11,'Accident logs'!$F:$F,"LTA")</f>
        <v>0</v>
      </c>
      <c r="O11" s="77">
        <f t="shared" si="0"/>
        <v>0</v>
      </c>
      <c r="P11" s="78">
        <f t="shared" si="1"/>
        <v>0</v>
      </c>
      <c r="Q11" s="77">
        <f t="shared" si="2"/>
        <v>0</v>
      </c>
      <c r="R11" s="77">
        <f t="shared" si="3"/>
        <v>0</v>
      </c>
      <c r="S11" s="77">
        <f t="shared" si="4"/>
        <v>0</v>
      </c>
      <c r="T11" s="77">
        <f t="shared" si="5"/>
        <v>0</v>
      </c>
      <c r="U11" s="77">
        <f t="shared" si="6"/>
        <v>0</v>
      </c>
      <c r="V11" s="77">
        <f t="shared" si="7"/>
        <v>0</v>
      </c>
      <c r="W11" s="77">
        <f t="shared" si="8"/>
        <v>0</v>
      </c>
      <c r="X11" s="77">
        <f t="shared" si="9"/>
        <v>0</v>
      </c>
      <c r="Y11" s="77">
        <f t="shared" si="10"/>
        <v>0</v>
      </c>
      <c r="Z11" s="77">
        <f t="shared" si="11"/>
        <v>0</v>
      </c>
      <c r="AA11" s="77">
        <f t="shared" si="12"/>
        <v>0</v>
      </c>
      <c r="AB11" s="79">
        <f t="shared" si="13"/>
        <v>0</v>
      </c>
      <c r="AC11" s="79">
        <f t="shared" si="14"/>
        <v>0</v>
      </c>
      <c r="AD11" s="90">
        <f t="shared" si="15"/>
        <v>0</v>
      </c>
    </row>
    <row r="12" spans="1:30" x14ac:dyDescent="0.35">
      <c r="A12" s="81">
        <v>45931</v>
      </c>
      <c r="B12" s="80">
        <v>147</v>
      </c>
      <c r="C12" s="76">
        <v>38220</v>
      </c>
      <c r="D12" s="77">
        <f>SUMIFS('Accident logs'!$K:$K,'Accident logs'!$B:$B,$A12)</f>
        <v>0</v>
      </c>
      <c r="E12" s="77">
        <f>COUNTIFS('Accident logs'!$B:$B,$A12,'Accident logs'!$F:$F,"Near Miss")</f>
        <v>0</v>
      </c>
      <c r="F12" s="77">
        <f>COUNTIFS('Accident logs'!$B:$B,$A12,'Accident logs'!$M:$M,"MRN")</f>
        <v>0</v>
      </c>
      <c r="G12" s="77">
        <f>COUNTIFS('Accident logs'!$B:$B,$A12,'Accident logs'!$F:$F,"First Aid")</f>
        <v>0</v>
      </c>
      <c r="H12" s="77">
        <f>COUNTIFS('Accident logs'!$B:$B,$A12,'Accident logs'!$N:$N,"Road Traffic Accident")</f>
        <v>0</v>
      </c>
      <c r="I12" s="77">
        <f>COUNTIFS('Accident logs'!$B:$B,$A12,'Accident logs'!$M:$M,"Dangerous Occurance")</f>
        <v>0</v>
      </c>
      <c r="J12" s="77">
        <f>COUNTIFS('Accident logs'!$B:$B,$A12,'Accident logs'!$F:$F,"Property Damage")</f>
        <v>0</v>
      </c>
      <c r="K12" s="77">
        <f>COUNTIFS('Accident logs'!$B:$B,$A12,'Accident logs'!$F:$F,"Severe Accident")</f>
        <v>0</v>
      </c>
      <c r="L12" s="77">
        <f>COUNTIFS('Accident logs'!$B:$B,$A12,'Accident logs'!$M:$M,"MRA")</f>
        <v>0</v>
      </c>
      <c r="M12" s="77">
        <f>COUNTIFS('Accident logs'!$B:$B,$A12,'Accident logs'!$N:$N,"Fatality")</f>
        <v>0</v>
      </c>
      <c r="N12" s="77">
        <f>COUNTIFS('Accident logs'!$B:$B,$A12,'Accident logs'!$F:$F,"LTA")</f>
        <v>0</v>
      </c>
      <c r="O12" s="77">
        <f t="shared" si="0"/>
        <v>0</v>
      </c>
      <c r="P12" s="78">
        <f t="shared" si="1"/>
        <v>38220</v>
      </c>
      <c r="Q12" s="77">
        <f t="shared" si="2"/>
        <v>0</v>
      </c>
      <c r="R12" s="77">
        <f t="shared" si="3"/>
        <v>0</v>
      </c>
      <c r="S12" s="77">
        <f t="shared" si="4"/>
        <v>0</v>
      </c>
      <c r="T12" s="77">
        <f t="shared" si="5"/>
        <v>0</v>
      </c>
      <c r="U12" s="77">
        <f t="shared" si="6"/>
        <v>0</v>
      </c>
      <c r="V12" s="77">
        <f t="shared" si="7"/>
        <v>0</v>
      </c>
      <c r="W12" s="77">
        <f t="shared" si="8"/>
        <v>0</v>
      </c>
      <c r="X12" s="77">
        <f t="shared" si="9"/>
        <v>0</v>
      </c>
      <c r="Y12" s="77">
        <f t="shared" si="10"/>
        <v>0</v>
      </c>
      <c r="Z12" s="77">
        <f t="shared" si="11"/>
        <v>0</v>
      </c>
      <c r="AA12" s="77">
        <f t="shared" si="12"/>
        <v>0</v>
      </c>
      <c r="AB12" s="79">
        <f t="shared" si="13"/>
        <v>0</v>
      </c>
      <c r="AC12" s="79">
        <f t="shared" si="14"/>
        <v>0</v>
      </c>
      <c r="AD12" s="90">
        <f t="shared" si="15"/>
        <v>0</v>
      </c>
    </row>
    <row r="13" spans="1:30" x14ac:dyDescent="0.35">
      <c r="A13" s="81">
        <v>45962</v>
      </c>
      <c r="B13" s="80">
        <v>347</v>
      </c>
      <c r="C13" s="76">
        <v>64440</v>
      </c>
      <c r="D13" s="77">
        <f>SUMIFS('Accident logs'!$K:$K,'Accident logs'!$B:$B,$A13)</f>
        <v>0</v>
      </c>
      <c r="E13" s="77">
        <f>COUNTIFS('Accident logs'!$B:$B,$A13,'Accident logs'!$F:$F,"Near Miss")</f>
        <v>0</v>
      </c>
      <c r="F13" s="77">
        <f>COUNTIFS('Accident logs'!$B:$B,$A13,'Accident logs'!$M:$M,"MRN")</f>
        <v>0</v>
      </c>
      <c r="G13" s="77">
        <f>COUNTIFS('Accident logs'!$B:$B,$A13,'Accident logs'!$F:$F,"First Aid")</f>
        <v>0</v>
      </c>
      <c r="H13" s="77">
        <f>COUNTIFS('Accident logs'!$B:$B,$A13,'Accident logs'!$N:$N,"Road Traffic Accident")</f>
        <v>0</v>
      </c>
      <c r="I13" s="77">
        <f>COUNTIFS('Accident logs'!$B:$B,$A13,'Accident logs'!$M:$M,"Dangerous Occurance")</f>
        <v>0</v>
      </c>
      <c r="J13" s="77">
        <f>COUNTIFS('Accident logs'!$B:$B,$A13,'Accident logs'!$F:$F,"Property Damage")</f>
        <v>0</v>
      </c>
      <c r="K13" s="77">
        <f>COUNTIFS('Accident logs'!$B:$B,$A13,'Accident logs'!$F:$F,"Severe Accident")</f>
        <v>0</v>
      </c>
      <c r="L13" s="77">
        <f>COUNTIFS('Accident logs'!$B:$B,$A13,'Accident logs'!$M:$M,"MRA")</f>
        <v>0</v>
      </c>
      <c r="M13" s="77">
        <f>COUNTIFS('Accident logs'!$B:$B,$A13,'Accident logs'!$N:$N,"Fatality")</f>
        <v>0</v>
      </c>
      <c r="N13" s="77">
        <f>COUNTIFS('Accident logs'!$B:$B,$A13,'Accident logs'!$F:$F,"LTA")</f>
        <v>0</v>
      </c>
      <c r="O13" s="77">
        <f t="shared" si="0"/>
        <v>0</v>
      </c>
      <c r="P13" s="78">
        <f t="shared" si="1"/>
        <v>102660</v>
      </c>
      <c r="Q13" s="77">
        <f t="shared" si="2"/>
        <v>0</v>
      </c>
      <c r="R13" s="77">
        <f t="shared" si="3"/>
        <v>0</v>
      </c>
      <c r="S13" s="77">
        <f t="shared" si="4"/>
        <v>0</v>
      </c>
      <c r="T13" s="77">
        <f t="shared" si="5"/>
        <v>0</v>
      </c>
      <c r="U13" s="77">
        <f t="shared" si="6"/>
        <v>0</v>
      </c>
      <c r="V13" s="77">
        <f t="shared" si="7"/>
        <v>0</v>
      </c>
      <c r="W13" s="77">
        <f t="shared" si="8"/>
        <v>0</v>
      </c>
      <c r="X13" s="77">
        <f t="shared" si="9"/>
        <v>0</v>
      </c>
      <c r="Y13" s="77">
        <f t="shared" si="10"/>
        <v>0</v>
      </c>
      <c r="Z13" s="77">
        <f t="shared" si="11"/>
        <v>0</v>
      </c>
      <c r="AA13" s="77">
        <f t="shared" si="12"/>
        <v>0</v>
      </c>
      <c r="AB13" s="79">
        <f t="shared" si="13"/>
        <v>0</v>
      </c>
      <c r="AC13" s="79">
        <f t="shared" si="14"/>
        <v>0</v>
      </c>
      <c r="AD13" s="90">
        <f t="shared" si="15"/>
        <v>0</v>
      </c>
    </row>
    <row r="14" spans="1:30" x14ac:dyDescent="0.35">
      <c r="A14" s="81">
        <v>45992</v>
      </c>
      <c r="B14" s="80">
        <v>478</v>
      </c>
      <c r="C14" s="76">
        <v>138960</v>
      </c>
      <c r="D14" s="77">
        <f>SUMIFS('Accident logs'!$K:$K,'Accident logs'!$B:$B,$A14)</f>
        <v>0</v>
      </c>
      <c r="E14" s="77">
        <f>COUNTIFS('Accident logs'!$B:$B,$A14,'Accident logs'!$F:$F,"Near Miss")</f>
        <v>1</v>
      </c>
      <c r="F14" s="77">
        <f>COUNTIFS('Accident logs'!$B:$B,$A14,'Accident logs'!$M:$M,"MRN")</f>
        <v>1</v>
      </c>
      <c r="G14" s="77">
        <f>COUNTIFS('Accident logs'!$B:$B,$A14,'Accident logs'!$F:$F,"First Aid")</f>
        <v>1</v>
      </c>
      <c r="H14" s="77">
        <f>COUNTIFS('Accident logs'!$B:$B,$A14,'Accident logs'!$N:$N,"Road Traffic Accident")</f>
        <v>0</v>
      </c>
      <c r="I14" s="77">
        <f>COUNTIFS('Accident logs'!$B:$B,$A14,'Accident logs'!$M:$M,"Dangerous Occurance")</f>
        <v>0</v>
      </c>
      <c r="J14" s="77">
        <f>COUNTIFS('Accident logs'!$B:$B,$A14,'Accident logs'!$F:$F,"Property Damage")</f>
        <v>0</v>
      </c>
      <c r="K14" s="77">
        <f>COUNTIFS('Accident logs'!$B:$B,$A14,'Accident logs'!$F:$F,"Severe Accident")</f>
        <v>0</v>
      </c>
      <c r="L14" s="77">
        <f>COUNTIFS('Accident logs'!$B:$B,$A14,'Accident logs'!$M:$M,"MRA")</f>
        <v>0</v>
      </c>
      <c r="M14" s="77">
        <f>COUNTIFS('Accident logs'!$B:$B,$A14,'Accident logs'!$N:$N,"Fatality")</f>
        <v>0</v>
      </c>
      <c r="N14" s="77">
        <f>COUNTIFS('Accident logs'!$B:$B,$A14,'Accident logs'!$F:$F,"LTA")</f>
        <v>0</v>
      </c>
      <c r="O14" s="77">
        <f t="shared" si="0"/>
        <v>1</v>
      </c>
      <c r="P14" s="78">
        <f t="shared" si="1"/>
        <v>241620</v>
      </c>
      <c r="Q14" s="77">
        <f t="shared" si="2"/>
        <v>0</v>
      </c>
      <c r="R14" s="77">
        <f t="shared" si="3"/>
        <v>1</v>
      </c>
      <c r="S14" s="77">
        <f t="shared" si="4"/>
        <v>1</v>
      </c>
      <c r="T14" s="77">
        <f t="shared" si="5"/>
        <v>1</v>
      </c>
      <c r="U14" s="77">
        <f t="shared" si="6"/>
        <v>0</v>
      </c>
      <c r="V14" s="77">
        <f t="shared" si="7"/>
        <v>0</v>
      </c>
      <c r="W14" s="77">
        <f t="shared" si="8"/>
        <v>0</v>
      </c>
      <c r="X14" s="77">
        <f t="shared" si="9"/>
        <v>0</v>
      </c>
      <c r="Y14" s="77">
        <f t="shared" si="10"/>
        <v>0</v>
      </c>
      <c r="Z14" s="77">
        <f t="shared" si="11"/>
        <v>0</v>
      </c>
      <c r="AA14" s="77">
        <f t="shared" si="12"/>
        <v>1</v>
      </c>
      <c r="AB14" s="79">
        <f t="shared" si="13"/>
        <v>4.1387302375631156</v>
      </c>
      <c r="AC14" s="79">
        <f t="shared" si="14"/>
        <v>0</v>
      </c>
      <c r="AD14" s="90">
        <f t="shared" si="15"/>
        <v>0</v>
      </c>
    </row>
    <row r="15" spans="1:30" x14ac:dyDescent="0.35">
      <c r="A15" s="81">
        <v>46023</v>
      </c>
      <c r="B15" s="80">
        <v>549</v>
      </c>
      <c r="C15" s="76">
        <v>127020</v>
      </c>
      <c r="D15" s="77">
        <f>SUMIFS('Accident logs'!$K:$K,'Accident logs'!$B:$B,$A15)</f>
        <v>0</v>
      </c>
      <c r="E15" s="77">
        <f>COUNTIFS('Accident logs'!$B:$B,$A15,'Accident logs'!$F:$F,"Near Miss")</f>
        <v>1</v>
      </c>
      <c r="F15" s="77">
        <f>COUNTIFS('Accident logs'!$B:$B,$A15,'Accident logs'!$M:$M,"MRN")</f>
        <v>1</v>
      </c>
      <c r="G15" s="77">
        <f>COUNTIFS('Accident logs'!$B:$B,$A15,'Accident logs'!$F:$F,"First Aid")</f>
        <v>0</v>
      </c>
      <c r="H15" s="77">
        <f>COUNTIFS('Accident logs'!$B:$B,$A15,'Accident logs'!$N:$N,"Road Traffic Accident")</f>
        <v>0</v>
      </c>
      <c r="I15" s="77">
        <f>COUNTIFS('Accident logs'!$B:$B,$A15,'Accident logs'!$M:$M,"Dangerous Occurance")</f>
        <v>0</v>
      </c>
      <c r="J15" s="77">
        <f>COUNTIFS('Accident logs'!$B:$B,$A15,'Accident logs'!$F:$F,"Property Damage")</f>
        <v>0</v>
      </c>
      <c r="K15" s="77">
        <f>COUNTIFS('Accident logs'!$B:$B,$A15,'Accident logs'!$F:$F,"Severe Accident")</f>
        <v>0</v>
      </c>
      <c r="L15" s="77">
        <f>COUNTIFS('Accident logs'!$B:$B,$A15,'Accident logs'!$M:$M,"MRA")</f>
        <v>0</v>
      </c>
      <c r="M15" s="77">
        <f>COUNTIFS('Accident logs'!$B:$B,$A15,'Accident logs'!$N:$N,"Fatality")</f>
        <v>0</v>
      </c>
      <c r="N15" s="77">
        <f>COUNTIFS('Accident logs'!$B:$B,$A15,'Accident logs'!$F:$F,"LTA")</f>
        <v>0</v>
      </c>
      <c r="O15" s="77">
        <f t="shared" si="0"/>
        <v>0</v>
      </c>
      <c r="P15" s="78">
        <f t="shared" si="1"/>
        <v>368640</v>
      </c>
      <c r="Q15" s="77">
        <f t="shared" si="2"/>
        <v>0</v>
      </c>
      <c r="R15" s="77">
        <f t="shared" si="3"/>
        <v>2</v>
      </c>
      <c r="S15" s="77">
        <f t="shared" si="4"/>
        <v>2</v>
      </c>
      <c r="T15" s="77">
        <f t="shared" si="5"/>
        <v>1</v>
      </c>
      <c r="U15" s="77">
        <f t="shared" si="6"/>
        <v>0</v>
      </c>
      <c r="V15" s="77">
        <f t="shared" si="7"/>
        <v>0</v>
      </c>
      <c r="W15" s="77">
        <f t="shared" si="8"/>
        <v>0</v>
      </c>
      <c r="X15" s="77">
        <f t="shared" si="9"/>
        <v>0</v>
      </c>
      <c r="Y15" s="77">
        <f t="shared" si="10"/>
        <v>0</v>
      </c>
      <c r="Z15" s="77">
        <f t="shared" si="11"/>
        <v>0</v>
      </c>
      <c r="AA15" s="77">
        <f t="shared" si="12"/>
        <v>1</v>
      </c>
      <c r="AB15" s="79">
        <f t="shared" si="13"/>
        <v>2.7126736111111112</v>
      </c>
      <c r="AC15" s="79">
        <f t="shared" si="14"/>
        <v>0</v>
      </c>
      <c r="AD15" s="90">
        <f t="shared" si="15"/>
        <v>0</v>
      </c>
    </row>
    <row r="16" spans="1:30" x14ac:dyDescent="0.35">
      <c r="A16" s="81">
        <v>46054</v>
      </c>
      <c r="B16" s="80">
        <v>577</v>
      </c>
      <c r="C16" s="76">
        <v>138620</v>
      </c>
      <c r="D16" s="77">
        <f>SUMIFS('Accident logs'!$K:$K,'Accident logs'!$B:$B,$A16)</f>
        <v>0</v>
      </c>
      <c r="E16" s="77">
        <f>COUNTIFS('Accident logs'!$B:$B,$A16,'Accident logs'!$F:$F,"Near Miss")</f>
        <v>3</v>
      </c>
      <c r="F16" s="77">
        <f>COUNTIFS('Accident logs'!$B:$B,$A16,'Accident logs'!$M:$M,"MRN")</f>
        <v>3</v>
      </c>
      <c r="G16" s="77">
        <f>COUNTIFS('Accident logs'!$B:$B,$A16,'Accident logs'!$F:$F,"First Aid")</f>
        <v>2</v>
      </c>
      <c r="H16" s="77">
        <f>COUNTIFS('Accident logs'!$B:$B,$A16,'Accident logs'!$N:$N,"Road Traffic Accident")</f>
        <v>0</v>
      </c>
      <c r="I16" s="77">
        <f>COUNTIFS('Accident logs'!$B:$B,$A16,'Accident logs'!$M:$M,"Dangerous Occurance")</f>
        <v>0</v>
      </c>
      <c r="J16" s="77">
        <f>COUNTIFS('Accident logs'!$B:$B,$A16,'Accident logs'!$F:$F,"Property Damage")</f>
        <v>0</v>
      </c>
      <c r="K16" s="77">
        <f>COUNTIFS('Accident logs'!$B:$B,$A16,'Accident logs'!$F:$F,"Severe Accident")</f>
        <v>0</v>
      </c>
      <c r="L16" s="77">
        <f>COUNTIFS('Accident logs'!$B:$B,$A16,'Accident logs'!$M:$M,"MRA")</f>
        <v>0</v>
      </c>
      <c r="M16" s="77">
        <f>COUNTIFS('Accident logs'!$B:$B,$A16,'Accident logs'!$N:$N,"Fatality")</f>
        <v>0</v>
      </c>
      <c r="N16" s="77">
        <f>COUNTIFS('Accident logs'!$B:$B,$A16,'Accident logs'!$F:$F,"LTA")</f>
        <v>0</v>
      </c>
      <c r="O16" s="77">
        <f t="shared" si="0"/>
        <v>2</v>
      </c>
      <c r="P16" s="78">
        <f t="shared" si="1"/>
        <v>507260</v>
      </c>
      <c r="Q16" s="77">
        <f t="shared" si="2"/>
        <v>0</v>
      </c>
      <c r="R16" s="77">
        <f t="shared" si="3"/>
        <v>5</v>
      </c>
      <c r="S16" s="77">
        <f t="shared" si="4"/>
        <v>5</v>
      </c>
      <c r="T16" s="77">
        <f t="shared" si="5"/>
        <v>3</v>
      </c>
      <c r="U16" s="77">
        <f t="shared" si="6"/>
        <v>0</v>
      </c>
      <c r="V16" s="77">
        <f t="shared" si="7"/>
        <v>0</v>
      </c>
      <c r="W16" s="77">
        <f t="shared" si="8"/>
        <v>0</v>
      </c>
      <c r="X16" s="77">
        <f t="shared" si="9"/>
        <v>0</v>
      </c>
      <c r="Y16" s="77">
        <f t="shared" si="10"/>
        <v>0</v>
      </c>
      <c r="Z16" s="77">
        <f t="shared" si="11"/>
        <v>0</v>
      </c>
      <c r="AA16" s="77">
        <f t="shared" si="12"/>
        <v>3</v>
      </c>
      <c r="AB16" s="79">
        <f t="shared" si="13"/>
        <v>5.914126877735284</v>
      </c>
      <c r="AC16" s="79">
        <f t="shared" si="14"/>
        <v>0</v>
      </c>
      <c r="AD16" s="90">
        <f t="shared" si="15"/>
        <v>0</v>
      </c>
    </row>
    <row r="17" spans="1:30" x14ac:dyDescent="0.35">
      <c r="A17" s="81">
        <v>46082</v>
      </c>
      <c r="B17" s="80">
        <v>756</v>
      </c>
      <c r="C17" s="76">
        <v>149950</v>
      </c>
      <c r="D17" s="77">
        <f>SUMIFS('Accident logs'!$K:$K,'Accident logs'!$B:$B,$A17)</f>
        <v>0</v>
      </c>
      <c r="E17" s="77">
        <f>COUNTIFS('Accident logs'!$B:$B,$A17,'Accident logs'!$F:$F,"Near Miss")</f>
        <v>0</v>
      </c>
      <c r="F17" s="77">
        <f>COUNTIFS('Accident logs'!$B:$B,$A17,'Accident logs'!$M:$M,"MRN")</f>
        <v>0</v>
      </c>
      <c r="G17" s="77">
        <f>COUNTIFS('Accident logs'!$B:$B,$A17,'Accident logs'!$F:$F,"First Aid")</f>
        <v>2</v>
      </c>
      <c r="H17" s="77">
        <f>COUNTIFS('Accident logs'!$B:$B,$A17,'Accident logs'!$N:$N,"Road Traffic Accident")</f>
        <v>0</v>
      </c>
      <c r="I17" s="77">
        <f>COUNTIFS('Accident logs'!$B:$B,$A17,'Accident logs'!$M:$M,"Dangerous Occurance")</f>
        <v>0</v>
      </c>
      <c r="J17" s="77">
        <f>COUNTIFS('Accident logs'!$B:$B,$A17,'Accident logs'!$F:$F,"Property Damage")</f>
        <v>0</v>
      </c>
      <c r="K17" s="77">
        <f>COUNTIFS('Accident logs'!$B:$B,$A17,'Accident logs'!$F:$F,"Severe Accident")</f>
        <v>0</v>
      </c>
      <c r="L17" s="77">
        <f>COUNTIFS('Accident logs'!$B:$B,$A17,'Accident logs'!$M:$M,"MRA")</f>
        <v>0</v>
      </c>
      <c r="M17" s="77">
        <f>COUNTIFS('Accident logs'!$B:$B,$A17,'Accident logs'!$N:$N,"Fatality")</f>
        <v>0</v>
      </c>
      <c r="N17" s="77">
        <f>COUNTIFS('Accident logs'!$B:$B,$A17,'Accident logs'!$F:$F,"LTA")</f>
        <v>0</v>
      </c>
      <c r="O17" s="77">
        <f t="shared" si="0"/>
        <v>2</v>
      </c>
      <c r="P17" s="78">
        <f t="shared" si="1"/>
        <v>657210</v>
      </c>
      <c r="Q17" s="77">
        <f t="shared" si="2"/>
        <v>0</v>
      </c>
      <c r="R17" s="77">
        <f t="shared" si="3"/>
        <v>5</v>
      </c>
      <c r="S17" s="77">
        <f t="shared" si="4"/>
        <v>5</v>
      </c>
      <c r="T17" s="77">
        <f t="shared" si="5"/>
        <v>5</v>
      </c>
      <c r="U17" s="77">
        <f t="shared" si="6"/>
        <v>0</v>
      </c>
      <c r="V17" s="77">
        <f t="shared" si="7"/>
        <v>0</v>
      </c>
      <c r="W17" s="77">
        <f t="shared" si="8"/>
        <v>0</v>
      </c>
      <c r="X17" s="77">
        <f t="shared" si="9"/>
        <v>0</v>
      </c>
      <c r="Y17" s="77">
        <f t="shared" si="10"/>
        <v>0</v>
      </c>
      <c r="Z17" s="77">
        <f t="shared" si="11"/>
        <v>0</v>
      </c>
      <c r="AA17" s="77">
        <f t="shared" si="12"/>
        <v>5</v>
      </c>
      <c r="AB17" s="79">
        <f t="shared" si="13"/>
        <v>7.6079183213889019</v>
      </c>
      <c r="AC17" s="79">
        <f t="shared" si="14"/>
        <v>0</v>
      </c>
      <c r="AD17" s="90">
        <f t="shared" si="15"/>
        <v>0</v>
      </c>
    </row>
    <row r="18" spans="1:30" x14ac:dyDescent="0.35">
      <c r="A18" s="81">
        <v>46113</v>
      </c>
      <c r="B18" s="80">
        <v>1349</v>
      </c>
      <c r="C18" s="76">
        <v>355440</v>
      </c>
      <c r="D18" s="77">
        <f>SUMIFS('Accident logs'!$K:$K,'Accident logs'!$B:$B,$A18)</f>
        <v>0</v>
      </c>
      <c r="E18" s="77">
        <f>COUNTIFS('Accident logs'!$B:$B,$A18,'Accident logs'!$F:$F,"Near Miss")</f>
        <v>4</v>
      </c>
      <c r="F18" s="77">
        <f>COUNTIFS('Accident logs'!$B:$B,$A18,'Accident logs'!$M:$M,"MRN")</f>
        <v>3</v>
      </c>
      <c r="G18" s="77">
        <f>COUNTIFS('Accident logs'!$B:$B,$A18,'Accident logs'!$F:$F,"First Aid")</f>
        <v>1</v>
      </c>
      <c r="H18" s="77">
        <f>COUNTIFS('Accident logs'!$B:$B,$A18,'Accident logs'!$N:$N,"Road Traffic Accident")</f>
        <v>0</v>
      </c>
      <c r="I18" s="77">
        <f>COUNTIFS('Accident logs'!$B:$B,$A18,'Accident logs'!$M:$M,"Dangerous Occurance")</f>
        <v>0</v>
      </c>
      <c r="J18" s="77">
        <f>COUNTIFS('Accident logs'!$B:$B,$A18,'Accident logs'!$F:$F,"Property Damage")</f>
        <v>0</v>
      </c>
      <c r="K18" s="77">
        <f>COUNTIFS('Accident logs'!$B:$B,$A18,'Accident logs'!$F:$F,"Severe Accident")</f>
        <v>0</v>
      </c>
      <c r="L18" s="77">
        <f>COUNTIFS('Accident logs'!$B:$B,$A18,'Accident logs'!$M:$M,"MRA")</f>
        <v>0</v>
      </c>
      <c r="M18" s="77">
        <f>COUNTIFS('Accident logs'!$B:$B,$A18,'Accident logs'!$N:$N,"Fatality")</f>
        <v>0</v>
      </c>
      <c r="N18" s="77">
        <f>COUNTIFS('Accident logs'!$B:$B,$A18,'Accident logs'!$F:$F,"LTA")</f>
        <v>0</v>
      </c>
      <c r="O18" s="77">
        <f t="shared" si="0"/>
        <v>1</v>
      </c>
      <c r="P18" s="78">
        <f t="shared" si="1"/>
        <v>1012650</v>
      </c>
      <c r="Q18" s="77">
        <f t="shared" si="2"/>
        <v>0</v>
      </c>
      <c r="R18" s="77">
        <f t="shared" si="3"/>
        <v>9</v>
      </c>
      <c r="S18" s="77">
        <f t="shared" si="4"/>
        <v>8</v>
      </c>
      <c r="T18" s="77">
        <f t="shared" si="5"/>
        <v>6</v>
      </c>
      <c r="U18" s="77">
        <f t="shared" si="6"/>
        <v>0</v>
      </c>
      <c r="V18" s="77">
        <f t="shared" si="7"/>
        <v>0</v>
      </c>
      <c r="W18" s="77">
        <f t="shared" si="8"/>
        <v>0</v>
      </c>
      <c r="X18" s="77">
        <f t="shared" si="9"/>
        <v>0</v>
      </c>
      <c r="Y18" s="77">
        <f t="shared" si="10"/>
        <v>0</v>
      </c>
      <c r="Z18" s="77">
        <f t="shared" si="11"/>
        <v>0</v>
      </c>
      <c r="AA18" s="77">
        <f t="shared" si="12"/>
        <v>6</v>
      </c>
      <c r="AB18" s="79">
        <f t="shared" si="13"/>
        <v>5.9250481410161457</v>
      </c>
      <c r="AC18" s="79">
        <f t="shared" si="14"/>
        <v>0</v>
      </c>
      <c r="AD18" s="90">
        <f t="shared" si="15"/>
        <v>0</v>
      </c>
    </row>
    <row r="19" spans="1:30" x14ac:dyDescent="0.35">
      <c r="A19" s="81">
        <v>46143</v>
      </c>
      <c r="B19" s="80">
        <v>1427</v>
      </c>
      <c r="C19" s="76">
        <v>251340</v>
      </c>
      <c r="D19" s="77">
        <f>SUMIFS('Accident logs'!$K:$K,'Accident logs'!$B:$B,$A19)</f>
        <v>0</v>
      </c>
      <c r="E19" s="77">
        <f>COUNTIFS('Accident logs'!$B:$B,$A19,'Accident logs'!$F:$F,"Near Miss")</f>
        <v>4</v>
      </c>
      <c r="F19" s="77">
        <f>COUNTIFS('Accident logs'!$B:$B,$A19,'Accident logs'!$M:$M,"MRN")</f>
        <v>1</v>
      </c>
      <c r="G19" s="77">
        <f>COUNTIFS('Accident logs'!$B:$B,$A19,'Accident logs'!$F:$F,"First Aid")</f>
        <v>2</v>
      </c>
      <c r="H19" s="77">
        <f>COUNTIFS('Accident logs'!$B:$B,$A19,'Accident logs'!$N:$N,"Road Traffic Accident")</f>
        <v>0</v>
      </c>
      <c r="I19" s="77">
        <f>COUNTIFS('Accident logs'!$B:$B,$A19,'Accident logs'!$M:$M,"Dangerous Occurance")</f>
        <v>0</v>
      </c>
      <c r="J19" s="77">
        <f>COUNTIFS('Accident logs'!$B:$B,$A19,'Accident logs'!$F:$F,"Property Damage")</f>
        <v>0</v>
      </c>
      <c r="K19" s="77">
        <f>COUNTIFS('Accident logs'!$B:$B,$A19,'Accident logs'!$F:$F,"Severe Accident")</f>
        <v>1</v>
      </c>
      <c r="L19" s="77">
        <f>COUNTIFS('Accident logs'!$B:$B,$A19,'Accident logs'!$M:$M,"MRA")</f>
        <v>1</v>
      </c>
      <c r="M19" s="77">
        <f>COUNTIFS('Accident logs'!$B:$B,$A19,'Accident logs'!$N:$N,"Fatality")</f>
        <v>1</v>
      </c>
      <c r="N19" s="77">
        <f>COUNTIFS('Accident logs'!$B:$B,$A19,'Accident logs'!$F:$F,"LTA")</f>
        <v>0</v>
      </c>
      <c r="O19" s="77">
        <f t="shared" si="0"/>
        <v>3</v>
      </c>
      <c r="P19" s="78">
        <f t="shared" si="1"/>
        <v>1263990</v>
      </c>
      <c r="Q19" s="77">
        <f t="shared" si="2"/>
        <v>0</v>
      </c>
      <c r="R19" s="77">
        <f t="shared" si="3"/>
        <v>13</v>
      </c>
      <c r="S19" s="77">
        <f t="shared" si="4"/>
        <v>9</v>
      </c>
      <c r="T19" s="77">
        <f t="shared" si="5"/>
        <v>8</v>
      </c>
      <c r="U19" s="77">
        <f t="shared" si="6"/>
        <v>0</v>
      </c>
      <c r="V19" s="77">
        <f t="shared" si="7"/>
        <v>0</v>
      </c>
      <c r="W19" s="77">
        <f t="shared" si="8"/>
        <v>0</v>
      </c>
      <c r="X19" s="77">
        <f t="shared" si="9"/>
        <v>1</v>
      </c>
      <c r="Y19" s="77">
        <f t="shared" si="10"/>
        <v>1</v>
      </c>
      <c r="Z19" s="77">
        <f t="shared" si="11"/>
        <v>0</v>
      </c>
      <c r="AA19" s="77">
        <f t="shared" si="12"/>
        <v>9</v>
      </c>
      <c r="AB19" s="79">
        <f>IF($P19=0,0,$AA19*1000000/$P19)</f>
        <v>7.1203094961194315</v>
      </c>
      <c r="AC19" s="79">
        <f t="shared" si="14"/>
        <v>0.79114549956882574</v>
      </c>
      <c r="AD19" s="90">
        <f t="shared" si="15"/>
        <v>0</v>
      </c>
    </row>
    <row r="20" spans="1:30" x14ac:dyDescent="0.35">
      <c r="A20" s="81">
        <v>46174</v>
      </c>
      <c r="B20" s="80">
        <v>1046</v>
      </c>
      <c r="C20" s="76">
        <v>127320</v>
      </c>
      <c r="D20" s="77">
        <f>SUMIFS('Accident logs'!$K:$K,'Accident logs'!$B:$B,$A20)</f>
        <v>0</v>
      </c>
      <c r="E20" s="77">
        <f>COUNTIFS('Accident logs'!$B:$B,$A20,'Accident logs'!$F:$F,"Near Miss")</f>
        <v>0</v>
      </c>
      <c r="F20" s="77">
        <f>COUNTIFS('Accident logs'!$B:$B,$A20,'Accident logs'!$M:$M,"MRN")</f>
        <v>0</v>
      </c>
      <c r="G20" s="77">
        <f>COUNTIFS('Accident logs'!$B:$B,$A20,'Accident logs'!$F:$F,"First Aid")</f>
        <v>2</v>
      </c>
      <c r="H20" s="77">
        <f>COUNTIFS('Accident logs'!$B:$B,$A20,'Accident logs'!$N:$N,"Road Traffic Accident")</f>
        <v>0</v>
      </c>
      <c r="I20" s="77">
        <f>COUNTIFS('Accident logs'!$B:$B,$A20,'Accident logs'!$M:$M,"Dangerous Occurance")</f>
        <v>0</v>
      </c>
      <c r="J20" s="77">
        <f>COUNTIFS('Accident logs'!$B:$B,$A20,'Accident logs'!$F:$F,"Property Damage")</f>
        <v>0</v>
      </c>
      <c r="K20" s="77">
        <f>COUNTIFS('Accident logs'!$B:$B,$A20,'Accident logs'!$F:$F,"Severe Accident")</f>
        <v>0</v>
      </c>
      <c r="L20" s="77">
        <f>COUNTIFS('Accident logs'!$B:$B,$A20,'Accident logs'!$M:$M,"MRA")</f>
        <v>0</v>
      </c>
      <c r="M20" s="77">
        <f>COUNTIFS('Accident logs'!$B:$B,$A20,'Accident logs'!$N:$N,"Fatality")</f>
        <v>0</v>
      </c>
      <c r="N20" s="77">
        <f>COUNTIFS('Accident logs'!$B:$B,$A20,'Accident logs'!$F:$F,"LTA")</f>
        <v>0</v>
      </c>
      <c r="O20" s="77">
        <f t="shared" si="0"/>
        <v>2</v>
      </c>
      <c r="P20" s="78">
        <f t="shared" si="1"/>
        <v>1391310</v>
      </c>
      <c r="Q20" s="77">
        <f t="shared" si="2"/>
        <v>0</v>
      </c>
      <c r="R20" s="77">
        <f t="shared" si="3"/>
        <v>13</v>
      </c>
      <c r="S20" s="77">
        <f t="shared" si="4"/>
        <v>9</v>
      </c>
      <c r="T20" s="77">
        <f t="shared" si="5"/>
        <v>10</v>
      </c>
      <c r="U20" s="77">
        <f t="shared" si="6"/>
        <v>0</v>
      </c>
      <c r="V20" s="77">
        <f t="shared" si="7"/>
        <v>0</v>
      </c>
      <c r="W20" s="77">
        <f t="shared" si="8"/>
        <v>0</v>
      </c>
      <c r="X20" s="77">
        <f t="shared" si="9"/>
        <v>1</v>
      </c>
      <c r="Y20" s="77">
        <f t="shared" si="10"/>
        <v>1</v>
      </c>
      <c r="Z20" s="77">
        <f t="shared" si="11"/>
        <v>0</v>
      </c>
      <c r="AA20" s="77">
        <f t="shared" si="12"/>
        <v>11</v>
      </c>
      <c r="AB20" s="79">
        <f t="shared" si="13"/>
        <v>7.9062178809898587</v>
      </c>
      <c r="AC20" s="79">
        <f t="shared" si="14"/>
        <v>0.71874708008998711</v>
      </c>
      <c r="AD20" s="90">
        <f t="shared" si="15"/>
        <v>0</v>
      </c>
    </row>
    <row r="21" spans="1:30" x14ac:dyDescent="0.35">
      <c r="A21" s="81">
        <v>46204</v>
      </c>
      <c r="B21" s="91"/>
      <c r="C21" s="92"/>
      <c r="D21" s="93">
        <f>SUMIFS('Accident logs'!$K:$K,'Accident logs'!$B:$B,$A21)</f>
        <v>0</v>
      </c>
      <c r="E21" s="93">
        <f>COUNTIFS('Accident logs'!$B:$B,$A21,'Accident logs'!$F:$F,"Near Miss")</f>
        <v>0</v>
      </c>
      <c r="F21" s="93">
        <f>COUNTIFS('Accident logs'!$B:$B,$A21,'Accident logs'!$M:$M,"MRN")</f>
        <v>0</v>
      </c>
      <c r="G21" s="93">
        <f>COUNTIFS('Accident logs'!$B:$B,$A21,'Accident logs'!$F:$F,"First Aid")</f>
        <v>0</v>
      </c>
      <c r="H21" s="93">
        <f>COUNTIFS('Accident logs'!$B:$B,$A21,'Accident logs'!$N:$N,"Road Traffic Accident")</f>
        <v>0</v>
      </c>
      <c r="I21" s="93">
        <f>COUNTIFS('Accident logs'!$B:$B,$A21,'Accident logs'!$M:$M,"Dangerous Occurance")</f>
        <v>0</v>
      </c>
      <c r="J21" s="93">
        <f>COUNTIFS('Accident logs'!$B:$B,$A21,'Accident logs'!$F:$F,"Property Damage")</f>
        <v>0</v>
      </c>
      <c r="K21" s="93">
        <f>COUNTIFS('Accident logs'!$B:$B,$A21,'Accident logs'!$F:$F,"Severe Accident")</f>
        <v>0</v>
      </c>
      <c r="L21" s="93">
        <f>COUNTIFS('Accident logs'!$B:$B,$A21,'Accident logs'!$M:$M,"MRA")</f>
        <v>0</v>
      </c>
      <c r="M21" s="93">
        <f>COUNTIFS('Accident logs'!$B:$B,$A21,'Accident logs'!$N:$N,"Fatality")</f>
        <v>0</v>
      </c>
      <c r="N21" s="93">
        <f>COUNTIFS('Accident logs'!$B:$B,$A21,'Accident logs'!$F:$F,"LTA")</f>
        <v>0</v>
      </c>
      <c r="O21" s="93">
        <f t="shared" si="0"/>
        <v>0</v>
      </c>
      <c r="P21" s="94">
        <f t="shared" si="1"/>
        <v>1391310</v>
      </c>
      <c r="Q21" s="93">
        <f t="shared" si="2"/>
        <v>0</v>
      </c>
      <c r="R21" s="93">
        <f t="shared" si="3"/>
        <v>13</v>
      </c>
      <c r="S21" s="93">
        <f t="shared" si="4"/>
        <v>9</v>
      </c>
      <c r="T21" s="93">
        <f t="shared" si="5"/>
        <v>10</v>
      </c>
      <c r="U21" s="93">
        <f t="shared" si="6"/>
        <v>0</v>
      </c>
      <c r="V21" s="93">
        <f t="shared" si="7"/>
        <v>0</v>
      </c>
      <c r="W21" s="93">
        <f t="shared" si="8"/>
        <v>0</v>
      </c>
      <c r="X21" s="93">
        <f t="shared" si="9"/>
        <v>1</v>
      </c>
      <c r="Y21" s="93">
        <f t="shared" si="10"/>
        <v>1</v>
      </c>
      <c r="Z21" s="93">
        <f t="shared" si="11"/>
        <v>0</v>
      </c>
      <c r="AA21" s="93">
        <f t="shared" si="12"/>
        <v>11</v>
      </c>
      <c r="AB21" s="95">
        <f t="shared" si="13"/>
        <v>7.9062178809898587</v>
      </c>
      <c r="AC21" s="95">
        <f t="shared" si="14"/>
        <v>0.71874708008998711</v>
      </c>
      <c r="AD21" s="96">
        <f t="shared" si="15"/>
        <v>0</v>
      </c>
    </row>
  </sheetData>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9"/>
  </sheetPr>
  <dimension ref="A1:M12"/>
  <sheetViews>
    <sheetView zoomScaleNormal="100" workbookViewId="0">
      <pane xSplit="1" ySplit="1" topLeftCell="B2" activePane="bottomRight" state="frozen"/>
      <selection pane="topRight" activeCell="B1" sqref="B1"/>
      <selection pane="bottomLeft" activeCell="A2" sqref="A2"/>
      <selection pane="bottomRight" activeCell="F19" sqref="F19"/>
    </sheetView>
  </sheetViews>
  <sheetFormatPr defaultColWidth="8.7265625" defaultRowHeight="14.5" x14ac:dyDescent="0.35"/>
  <cols>
    <col min="1" max="1" width="10.81640625" bestFit="1" customWidth="1"/>
    <col min="2" max="2" width="9" bestFit="1" customWidth="1"/>
    <col min="3" max="4" width="9.453125" bestFit="1" customWidth="1"/>
    <col min="5" max="5" width="16.453125" bestFit="1" customWidth="1"/>
    <col min="6" max="6" width="15.453125" bestFit="1" customWidth="1"/>
    <col min="7" max="7" width="10.26953125" bestFit="1" customWidth="1"/>
    <col min="8" max="8" width="7.7265625" bestFit="1" customWidth="1"/>
    <col min="9" max="9" width="11" bestFit="1" customWidth="1"/>
    <col min="10" max="10" width="6.7265625" bestFit="1" customWidth="1"/>
    <col min="11" max="11" width="10" bestFit="1" customWidth="1"/>
    <col min="12" max="12" width="10.1796875" bestFit="1" customWidth="1"/>
    <col min="13" max="13" width="10.81640625" bestFit="1" customWidth="1"/>
  </cols>
  <sheetData>
    <row r="1" spans="1:13" ht="45.75" customHeight="1" x14ac:dyDescent="0.35">
      <c r="A1" s="44" t="s">
        <v>60</v>
      </c>
      <c r="B1" s="48" t="s">
        <v>87</v>
      </c>
      <c r="C1" s="59" t="s">
        <v>88</v>
      </c>
      <c r="D1" s="59" t="s">
        <v>89</v>
      </c>
      <c r="E1" s="48" t="s">
        <v>90</v>
      </c>
      <c r="F1" s="48" t="s">
        <v>91</v>
      </c>
      <c r="G1" s="48" t="s">
        <v>92</v>
      </c>
      <c r="H1" s="48" t="s">
        <v>93</v>
      </c>
      <c r="I1" s="48" t="s">
        <v>94</v>
      </c>
      <c r="J1" s="48" t="s">
        <v>95</v>
      </c>
      <c r="K1" s="48" t="s">
        <v>96</v>
      </c>
      <c r="L1" s="48" t="s">
        <v>97</v>
      </c>
      <c r="M1" s="48" t="s">
        <v>98</v>
      </c>
    </row>
    <row r="2" spans="1:13" x14ac:dyDescent="0.35">
      <c r="A2" s="58">
        <v>45931</v>
      </c>
      <c r="B2" s="60">
        <v>0</v>
      </c>
      <c r="C2" s="61">
        <v>125</v>
      </c>
      <c r="D2" s="61">
        <v>10</v>
      </c>
      <c r="E2" s="50">
        <v>2</v>
      </c>
      <c r="F2" s="50">
        <v>0</v>
      </c>
      <c r="G2" s="50">
        <v>1</v>
      </c>
      <c r="H2" s="50">
        <v>0</v>
      </c>
      <c r="I2" s="50">
        <v>0</v>
      </c>
      <c r="J2" s="50">
        <v>0</v>
      </c>
      <c r="K2" s="50">
        <v>1</v>
      </c>
      <c r="L2" s="50">
        <v>0</v>
      </c>
      <c r="M2" s="51">
        <v>0</v>
      </c>
    </row>
    <row r="3" spans="1:13" x14ac:dyDescent="0.35">
      <c r="A3" s="58">
        <v>45962</v>
      </c>
      <c r="B3" s="62">
        <v>0</v>
      </c>
      <c r="C3" s="63">
        <v>599</v>
      </c>
      <c r="D3" s="63">
        <v>84</v>
      </c>
      <c r="E3" s="49">
        <v>0</v>
      </c>
      <c r="F3" s="49">
        <v>4</v>
      </c>
      <c r="G3" s="49">
        <v>1</v>
      </c>
      <c r="H3" s="49">
        <v>0</v>
      </c>
      <c r="I3" s="49">
        <v>0</v>
      </c>
      <c r="J3" s="49">
        <v>0</v>
      </c>
      <c r="K3" s="49">
        <v>1</v>
      </c>
      <c r="L3" s="49">
        <v>2</v>
      </c>
      <c r="M3" s="52">
        <v>0</v>
      </c>
    </row>
    <row r="4" spans="1:13" x14ac:dyDescent="0.35">
      <c r="A4" s="58">
        <v>45992</v>
      </c>
      <c r="B4" s="62">
        <v>0</v>
      </c>
      <c r="C4" s="63">
        <v>488</v>
      </c>
      <c r="D4" s="63">
        <v>93</v>
      </c>
      <c r="E4" s="49">
        <v>0</v>
      </c>
      <c r="F4" s="49">
        <v>4</v>
      </c>
      <c r="G4" s="49">
        <v>1</v>
      </c>
      <c r="H4" s="49">
        <v>0</v>
      </c>
      <c r="I4" s="49">
        <v>0</v>
      </c>
      <c r="J4" s="49">
        <v>0</v>
      </c>
      <c r="K4" s="49">
        <v>1</v>
      </c>
      <c r="L4" s="49">
        <v>4</v>
      </c>
      <c r="M4" s="52">
        <v>1</v>
      </c>
    </row>
    <row r="5" spans="1:13" x14ac:dyDescent="0.35">
      <c r="A5" s="58">
        <v>46023</v>
      </c>
      <c r="B5" s="62">
        <v>0</v>
      </c>
      <c r="C5" s="63">
        <v>373</v>
      </c>
      <c r="D5" s="63">
        <v>209</v>
      </c>
      <c r="E5" s="49">
        <v>1</v>
      </c>
      <c r="F5" s="49">
        <v>6</v>
      </c>
      <c r="G5" s="49">
        <v>1</v>
      </c>
      <c r="H5" s="49">
        <v>0</v>
      </c>
      <c r="I5" s="49">
        <v>0</v>
      </c>
      <c r="J5" s="49">
        <v>0</v>
      </c>
      <c r="K5" s="49">
        <v>1</v>
      </c>
      <c r="L5" s="49">
        <v>2</v>
      </c>
      <c r="M5" s="52">
        <v>1</v>
      </c>
    </row>
    <row r="6" spans="1:13" x14ac:dyDescent="0.35">
      <c r="A6" s="58">
        <v>46054</v>
      </c>
      <c r="B6" s="62">
        <v>1</v>
      </c>
      <c r="C6" s="63">
        <v>303</v>
      </c>
      <c r="D6" s="63">
        <v>84</v>
      </c>
      <c r="E6" s="49">
        <v>0</v>
      </c>
      <c r="F6" s="49">
        <v>11</v>
      </c>
      <c r="G6" s="49">
        <v>1</v>
      </c>
      <c r="H6" s="49">
        <v>1</v>
      </c>
      <c r="I6" s="49">
        <v>0</v>
      </c>
      <c r="J6" s="49">
        <v>0</v>
      </c>
      <c r="K6" s="49">
        <v>1</v>
      </c>
      <c r="L6" s="49">
        <v>4</v>
      </c>
      <c r="M6" s="52">
        <v>5</v>
      </c>
    </row>
    <row r="7" spans="1:13" x14ac:dyDescent="0.35">
      <c r="A7" s="58">
        <v>46082</v>
      </c>
      <c r="B7" s="62">
        <v>0</v>
      </c>
      <c r="C7" s="63">
        <v>282</v>
      </c>
      <c r="D7" s="63">
        <v>66</v>
      </c>
      <c r="E7" s="49">
        <v>3</v>
      </c>
      <c r="F7" s="49">
        <v>12</v>
      </c>
      <c r="G7" s="49">
        <v>1</v>
      </c>
      <c r="H7" s="49">
        <v>0</v>
      </c>
      <c r="I7" s="49">
        <v>0</v>
      </c>
      <c r="J7" s="49">
        <v>0</v>
      </c>
      <c r="K7" s="49">
        <v>1</v>
      </c>
      <c r="L7" s="49">
        <v>10</v>
      </c>
      <c r="M7" s="52">
        <v>9</v>
      </c>
    </row>
    <row r="8" spans="1:13" x14ac:dyDescent="0.35">
      <c r="A8" s="58">
        <v>46113</v>
      </c>
      <c r="B8" s="62">
        <v>1</v>
      </c>
      <c r="C8" s="63">
        <v>443</v>
      </c>
      <c r="D8" s="63">
        <v>416</v>
      </c>
      <c r="E8" s="49">
        <v>3</v>
      </c>
      <c r="F8" s="49">
        <v>9</v>
      </c>
      <c r="G8" s="49">
        <v>1</v>
      </c>
      <c r="H8" s="49">
        <v>1</v>
      </c>
      <c r="I8" s="49">
        <v>0</v>
      </c>
      <c r="J8" s="49">
        <v>0</v>
      </c>
      <c r="K8" s="49">
        <v>3</v>
      </c>
      <c r="L8" s="49">
        <v>10</v>
      </c>
      <c r="M8" s="52">
        <v>6</v>
      </c>
    </row>
    <row r="9" spans="1:13" x14ac:dyDescent="0.35">
      <c r="A9" s="58">
        <v>46143</v>
      </c>
      <c r="B9" s="62">
        <v>1</v>
      </c>
      <c r="C9" s="63">
        <v>220</v>
      </c>
      <c r="D9" s="63">
        <v>336</v>
      </c>
      <c r="E9" s="49">
        <v>0</v>
      </c>
      <c r="F9" s="49">
        <v>4</v>
      </c>
      <c r="G9" s="49">
        <v>1</v>
      </c>
      <c r="H9" s="49">
        <v>1</v>
      </c>
      <c r="I9" s="49">
        <v>0</v>
      </c>
      <c r="J9" s="49">
        <v>0</v>
      </c>
      <c r="K9" s="49">
        <v>3</v>
      </c>
      <c r="L9" s="49">
        <v>6</v>
      </c>
      <c r="M9" s="52">
        <v>15</v>
      </c>
    </row>
    <row r="10" spans="1:13" x14ac:dyDescent="0.35">
      <c r="A10" s="58">
        <v>46174</v>
      </c>
      <c r="B10" s="62">
        <v>2</v>
      </c>
      <c r="C10" s="63">
        <v>136</v>
      </c>
      <c r="D10" s="63">
        <v>1360</v>
      </c>
      <c r="E10" s="49">
        <v>4</v>
      </c>
      <c r="F10" s="49">
        <v>1</v>
      </c>
      <c r="G10" s="49">
        <v>2</v>
      </c>
      <c r="H10" s="49">
        <v>0</v>
      </c>
      <c r="I10" s="49">
        <v>0</v>
      </c>
      <c r="J10" s="49">
        <v>1</v>
      </c>
      <c r="K10" s="49">
        <v>0</v>
      </c>
      <c r="L10" s="49">
        <v>4</v>
      </c>
      <c r="M10" s="52">
        <v>8</v>
      </c>
    </row>
    <row r="11" spans="1:13" x14ac:dyDescent="0.35">
      <c r="A11" s="58">
        <v>46204</v>
      </c>
      <c r="B11" s="130">
        <v>0</v>
      </c>
      <c r="C11" s="131">
        <v>0</v>
      </c>
      <c r="D11" s="131">
        <v>0</v>
      </c>
      <c r="E11" s="132">
        <v>0</v>
      </c>
      <c r="F11" s="132">
        <v>0</v>
      </c>
      <c r="G11" s="132">
        <v>0</v>
      </c>
      <c r="H11" s="132">
        <v>0</v>
      </c>
      <c r="I11" s="132">
        <v>0</v>
      </c>
      <c r="J11" s="132">
        <v>0</v>
      </c>
      <c r="K11" s="132">
        <v>0</v>
      </c>
      <c r="L11" s="132">
        <v>0</v>
      </c>
      <c r="M11" s="133">
        <v>0</v>
      </c>
    </row>
    <row r="12" spans="1:13" x14ac:dyDescent="0.35">
      <c r="A12" s="64" t="s">
        <v>99</v>
      </c>
      <c r="B12" s="134">
        <f>SUM(B2:B11)</f>
        <v>5</v>
      </c>
      <c r="C12" s="134">
        <f>SUM(C2:C11)</f>
        <v>2969</v>
      </c>
      <c r="D12" s="134">
        <f>SUM(D2:D11)</f>
        <v>2658</v>
      </c>
      <c r="E12" s="134">
        <f>SUM(E2:E11)</f>
        <v>13</v>
      </c>
      <c r="F12" s="134">
        <f>SUM(F2:F11)</f>
        <v>51</v>
      </c>
      <c r="G12" s="134">
        <f>SUM(G2:G11)</f>
        <v>10</v>
      </c>
      <c r="H12" s="134">
        <f>SUM(H2:H11)</f>
        <v>3</v>
      </c>
      <c r="I12" s="134">
        <f>SUM(I2:I11)</f>
        <v>0</v>
      </c>
      <c r="J12" s="134">
        <f>SUM(J2:J11)</f>
        <v>1</v>
      </c>
      <c r="K12" s="134">
        <f>SUM(K2:K11)</f>
        <v>12</v>
      </c>
      <c r="L12" s="134">
        <f>SUM(L2:L11)</f>
        <v>42</v>
      </c>
      <c r="M12" s="134">
        <f>SUM(M2:M11)</f>
        <v>45</v>
      </c>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B2:Q44"/>
  <sheetViews>
    <sheetView zoomScale="85" zoomScaleNormal="85" workbookViewId="0">
      <pane xSplit="4" ySplit="2" topLeftCell="E3" activePane="bottomRight" state="frozen"/>
      <selection pane="topRight" activeCell="E1" sqref="E1"/>
      <selection pane="bottomLeft" activeCell="A3" sqref="A3"/>
      <selection pane="bottomRight" activeCell="W31" sqref="W31"/>
    </sheetView>
  </sheetViews>
  <sheetFormatPr defaultColWidth="8.7265625" defaultRowHeight="14.5" x14ac:dyDescent="0.35"/>
  <cols>
    <col min="1" max="1" width="2.81640625" customWidth="1"/>
    <col min="2" max="2" width="14" customWidth="1"/>
    <col min="3" max="3" width="12.7265625" bestFit="1" customWidth="1"/>
    <col min="4" max="4" width="26.81640625" bestFit="1" customWidth="1"/>
    <col min="5" max="5" width="8.453125" bestFit="1" customWidth="1"/>
    <col min="6" max="6" width="8.26953125" bestFit="1" customWidth="1"/>
    <col min="7" max="7" width="9.1796875" bestFit="1" customWidth="1"/>
    <col min="8" max="8" width="6.54296875" bestFit="1" customWidth="1"/>
    <col min="9" max="9" width="5.26953125" bestFit="1" customWidth="1"/>
    <col min="10" max="10" width="4.7265625" bestFit="1" customWidth="1"/>
    <col min="11" max="11" width="5.453125" bestFit="1" customWidth="1"/>
    <col min="12" max="12" width="4.7265625" bestFit="1" customWidth="1"/>
    <col min="13" max="13" width="7.1796875" bestFit="1" customWidth="1"/>
    <col min="14" max="14" width="11" bestFit="1" customWidth="1"/>
    <col min="15" max="15" width="8.1796875" bestFit="1" customWidth="1"/>
    <col min="16" max="17" width="10.26953125" bestFit="1" customWidth="1"/>
  </cols>
  <sheetData>
    <row r="2" spans="2:17" ht="21.75" customHeight="1" x14ac:dyDescent="0.35">
      <c r="B2" s="48" t="s">
        <v>54</v>
      </c>
      <c r="C2" s="48" t="s">
        <v>100</v>
      </c>
      <c r="D2" s="48" t="s">
        <v>101</v>
      </c>
      <c r="E2" s="48" t="s">
        <v>102</v>
      </c>
      <c r="F2" s="48" t="s">
        <v>103</v>
      </c>
      <c r="G2" s="48" t="s">
        <v>104</v>
      </c>
      <c r="H2" s="48" t="s">
        <v>105</v>
      </c>
      <c r="I2" s="48" t="s">
        <v>106</v>
      </c>
      <c r="J2" s="48" t="s">
        <v>107</v>
      </c>
      <c r="K2" s="48" t="s">
        <v>108</v>
      </c>
      <c r="L2" s="48" t="s">
        <v>109</v>
      </c>
      <c r="M2" s="48" t="s">
        <v>110</v>
      </c>
      <c r="N2" s="48" t="s">
        <v>111</v>
      </c>
      <c r="O2" s="48" t="s">
        <v>112</v>
      </c>
      <c r="P2" s="48" t="s">
        <v>113</v>
      </c>
      <c r="Q2" s="48" t="s">
        <v>114</v>
      </c>
    </row>
    <row r="3" spans="2:17" x14ac:dyDescent="0.35">
      <c r="B3" s="45" t="s">
        <v>115</v>
      </c>
      <c r="C3" s="104" t="s">
        <v>116</v>
      </c>
      <c r="D3" s="45" t="s">
        <v>117</v>
      </c>
      <c r="E3" s="46">
        <v>2</v>
      </c>
      <c r="F3" s="55">
        <v>1</v>
      </c>
      <c r="G3" s="50">
        <v>7</v>
      </c>
      <c r="H3" s="50">
        <v>5</v>
      </c>
      <c r="I3" s="50">
        <v>1</v>
      </c>
      <c r="J3" s="50">
        <v>1</v>
      </c>
      <c r="K3" s="50">
        <v>1</v>
      </c>
      <c r="L3" s="50">
        <v>0</v>
      </c>
      <c r="M3" s="50">
        <v>0</v>
      </c>
      <c r="N3" s="50">
        <v>0</v>
      </c>
      <c r="O3" s="50">
        <v>0</v>
      </c>
      <c r="P3" s="50">
        <v>0</v>
      </c>
      <c r="Q3" s="51">
        <v>0</v>
      </c>
    </row>
    <row r="4" spans="2:17" x14ac:dyDescent="0.35">
      <c r="B4" s="45" t="s">
        <v>115</v>
      </c>
      <c r="C4" s="104"/>
      <c r="D4" s="45" t="s">
        <v>118</v>
      </c>
      <c r="E4" s="47"/>
      <c r="F4" s="56">
        <v>0</v>
      </c>
      <c r="G4" s="49">
        <v>17</v>
      </c>
      <c r="H4" s="49">
        <v>10</v>
      </c>
      <c r="I4" s="49">
        <v>17</v>
      </c>
      <c r="J4" s="49">
        <v>0</v>
      </c>
      <c r="K4" s="49">
        <v>1</v>
      </c>
      <c r="L4" s="49">
        <v>0</v>
      </c>
      <c r="M4" s="49">
        <v>0</v>
      </c>
      <c r="N4" s="49">
        <v>0</v>
      </c>
      <c r="O4" s="49">
        <v>0</v>
      </c>
      <c r="P4" s="49">
        <v>0</v>
      </c>
      <c r="Q4" s="52">
        <v>0</v>
      </c>
    </row>
    <row r="5" spans="2:17" x14ac:dyDescent="0.35">
      <c r="B5" s="45" t="s">
        <v>115</v>
      </c>
      <c r="C5" s="104"/>
      <c r="D5" s="45" t="s">
        <v>119</v>
      </c>
      <c r="E5" s="47"/>
      <c r="F5" s="56">
        <v>0</v>
      </c>
      <c r="G5" s="49">
        <v>10</v>
      </c>
      <c r="H5" s="49">
        <v>9</v>
      </c>
      <c r="I5" s="49">
        <v>5</v>
      </c>
      <c r="J5" s="49">
        <v>0</v>
      </c>
      <c r="K5" s="49">
        <v>5</v>
      </c>
      <c r="L5" s="49">
        <v>0</v>
      </c>
      <c r="M5" s="49">
        <v>0</v>
      </c>
      <c r="N5" s="49">
        <v>0</v>
      </c>
      <c r="O5" s="49">
        <v>0</v>
      </c>
      <c r="P5" s="49">
        <v>0</v>
      </c>
      <c r="Q5" s="52">
        <v>0</v>
      </c>
    </row>
    <row r="6" spans="2:17" x14ac:dyDescent="0.35">
      <c r="B6" s="45" t="s">
        <v>115</v>
      </c>
      <c r="C6" s="104"/>
      <c r="D6" s="45" t="s">
        <v>120</v>
      </c>
      <c r="E6" s="47"/>
      <c r="F6" s="56">
        <v>1</v>
      </c>
      <c r="G6" s="49">
        <v>1</v>
      </c>
      <c r="H6" s="49">
        <v>0</v>
      </c>
      <c r="I6" s="49">
        <v>1</v>
      </c>
      <c r="J6" s="49">
        <v>1</v>
      </c>
      <c r="K6" s="49">
        <v>0</v>
      </c>
      <c r="L6" s="49">
        <v>0</v>
      </c>
      <c r="M6" s="49">
        <v>0</v>
      </c>
      <c r="N6" s="49">
        <v>0</v>
      </c>
      <c r="O6" s="49">
        <v>0</v>
      </c>
      <c r="P6" s="49">
        <v>0</v>
      </c>
      <c r="Q6" s="52">
        <v>0</v>
      </c>
    </row>
    <row r="7" spans="2:17" x14ac:dyDescent="0.35">
      <c r="B7" s="45" t="s">
        <v>115</v>
      </c>
      <c r="C7" s="104"/>
      <c r="D7" s="45" t="s">
        <v>121</v>
      </c>
      <c r="E7" s="47"/>
      <c r="F7" s="56">
        <v>1</v>
      </c>
      <c r="G7" s="49">
        <v>1</v>
      </c>
      <c r="H7" s="49">
        <v>0</v>
      </c>
      <c r="I7" s="49">
        <v>1</v>
      </c>
      <c r="J7" s="49">
        <v>1</v>
      </c>
      <c r="K7" s="49">
        <v>0</v>
      </c>
      <c r="L7" s="49">
        <v>0</v>
      </c>
      <c r="M7" s="49">
        <v>0</v>
      </c>
      <c r="N7" s="49">
        <v>0</v>
      </c>
      <c r="O7" s="49">
        <v>0</v>
      </c>
      <c r="P7" s="49">
        <v>0</v>
      </c>
      <c r="Q7" s="52">
        <v>0</v>
      </c>
    </row>
    <row r="8" spans="2:17" x14ac:dyDescent="0.35">
      <c r="B8" s="45" t="s">
        <v>115</v>
      </c>
      <c r="C8" s="104"/>
      <c r="D8" s="45" t="s">
        <v>68</v>
      </c>
      <c r="E8" s="47"/>
      <c r="F8" s="56">
        <v>0</v>
      </c>
      <c r="G8" s="49">
        <v>0</v>
      </c>
      <c r="H8" s="49">
        <v>0</v>
      </c>
      <c r="I8" s="49">
        <v>0</v>
      </c>
      <c r="J8" s="49">
        <v>0</v>
      </c>
      <c r="K8" s="49">
        <v>0</v>
      </c>
      <c r="L8" s="49">
        <v>0</v>
      </c>
      <c r="M8" s="49">
        <v>0</v>
      </c>
      <c r="N8" s="49">
        <v>0</v>
      </c>
      <c r="O8" s="49">
        <v>0</v>
      </c>
      <c r="P8" s="49">
        <v>0</v>
      </c>
      <c r="Q8" s="52">
        <v>0</v>
      </c>
    </row>
    <row r="9" spans="2:17" x14ac:dyDescent="0.35">
      <c r="B9" s="45" t="s">
        <v>115</v>
      </c>
      <c r="C9" s="104"/>
      <c r="D9" s="45" t="s">
        <v>122</v>
      </c>
      <c r="E9" s="47"/>
      <c r="F9" s="56">
        <v>0</v>
      </c>
      <c r="G9" s="49">
        <v>1</v>
      </c>
      <c r="H9" s="49">
        <v>1</v>
      </c>
      <c r="I9" s="49">
        <v>1</v>
      </c>
      <c r="J9" s="49">
        <v>2</v>
      </c>
      <c r="K9" s="49">
        <v>2</v>
      </c>
      <c r="L9" s="49">
        <v>0</v>
      </c>
      <c r="M9" s="49">
        <v>0</v>
      </c>
      <c r="N9" s="49">
        <v>0</v>
      </c>
      <c r="O9" s="49">
        <v>0</v>
      </c>
      <c r="P9" s="49">
        <v>0</v>
      </c>
      <c r="Q9" s="52">
        <v>0</v>
      </c>
    </row>
    <row r="10" spans="2:17" x14ac:dyDescent="0.35">
      <c r="B10" s="45" t="s">
        <v>115</v>
      </c>
      <c r="C10" s="104"/>
      <c r="D10" s="45" t="s">
        <v>123</v>
      </c>
      <c r="E10" s="47"/>
      <c r="F10" s="56">
        <v>0</v>
      </c>
      <c r="G10" s="49">
        <v>0</v>
      </c>
      <c r="H10" s="49">
        <v>0</v>
      </c>
      <c r="I10" s="49">
        <v>0</v>
      </c>
      <c r="J10" s="49">
        <v>0</v>
      </c>
      <c r="K10" s="49">
        <v>0</v>
      </c>
      <c r="L10" s="49">
        <v>0</v>
      </c>
      <c r="M10" s="49">
        <v>0</v>
      </c>
      <c r="N10" s="49">
        <v>0</v>
      </c>
      <c r="O10" s="49">
        <v>0</v>
      </c>
      <c r="P10" s="49">
        <v>0</v>
      </c>
      <c r="Q10" s="52">
        <v>0</v>
      </c>
    </row>
    <row r="11" spans="2:17" x14ac:dyDescent="0.35">
      <c r="B11" s="45" t="s">
        <v>115</v>
      </c>
      <c r="C11" s="104"/>
      <c r="D11" s="45" t="s">
        <v>124</v>
      </c>
      <c r="E11" s="47"/>
      <c r="F11" s="56">
        <v>0</v>
      </c>
      <c r="G11" s="49">
        <v>0</v>
      </c>
      <c r="H11" s="49">
        <v>0</v>
      </c>
      <c r="I11" s="49">
        <v>0</v>
      </c>
      <c r="J11" s="49">
        <v>0</v>
      </c>
      <c r="K11" s="49">
        <v>0</v>
      </c>
      <c r="L11" s="49">
        <v>0</v>
      </c>
      <c r="M11" s="49">
        <v>0</v>
      </c>
      <c r="N11" s="49">
        <v>0</v>
      </c>
      <c r="O11" s="49">
        <v>0</v>
      </c>
      <c r="P11" s="49">
        <v>0</v>
      </c>
      <c r="Q11" s="52">
        <v>0</v>
      </c>
    </row>
    <row r="12" spans="2:17" x14ac:dyDescent="0.35">
      <c r="B12" s="45" t="s">
        <v>115</v>
      </c>
      <c r="C12" s="104"/>
      <c r="D12" s="45" t="s">
        <v>51</v>
      </c>
      <c r="E12" s="47"/>
      <c r="F12" s="56">
        <v>0</v>
      </c>
      <c r="G12" s="49">
        <v>0</v>
      </c>
      <c r="H12" s="49">
        <v>0</v>
      </c>
      <c r="I12" s="49">
        <v>0</v>
      </c>
      <c r="J12" s="49">
        <v>0</v>
      </c>
      <c r="K12" s="49">
        <v>0</v>
      </c>
      <c r="L12" s="49">
        <v>0</v>
      </c>
      <c r="M12" s="49">
        <v>0</v>
      </c>
      <c r="N12" s="49">
        <v>0</v>
      </c>
      <c r="O12" s="49">
        <v>0</v>
      </c>
      <c r="P12" s="49">
        <v>0</v>
      </c>
      <c r="Q12" s="52">
        <v>0</v>
      </c>
    </row>
    <row r="13" spans="2:17" x14ac:dyDescent="0.35">
      <c r="B13" s="45" t="s">
        <v>115</v>
      </c>
      <c r="C13" s="104"/>
      <c r="D13" s="45" t="s">
        <v>125</v>
      </c>
      <c r="E13" s="46">
        <v>2</v>
      </c>
      <c r="F13" s="56">
        <v>2</v>
      </c>
      <c r="G13" s="49">
        <v>6</v>
      </c>
      <c r="H13" s="49">
        <v>4</v>
      </c>
      <c r="I13" s="49">
        <v>2</v>
      </c>
      <c r="J13" s="49">
        <v>3</v>
      </c>
      <c r="K13" s="49">
        <v>0</v>
      </c>
      <c r="L13" s="49">
        <v>0</v>
      </c>
      <c r="M13" s="49">
        <v>0</v>
      </c>
      <c r="N13" s="49">
        <v>0</v>
      </c>
      <c r="O13" s="49">
        <v>0</v>
      </c>
      <c r="P13" s="49">
        <v>0</v>
      </c>
      <c r="Q13" s="52">
        <v>0</v>
      </c>
    </row>
    <row r="14" spans="2:17" x14ac:dyDescent="0.35">
      <c r="B14" s="45" t="s">
        <v>115</v>
      </c>
      <c r="C14" s="104"/>
      <c r="D14" s="45" t="s">
        <v>126</v>
      </c>
      <c r="E14" s="46">
        <v>4</v>
      </c>
      <c r="F14" s="56">
        <v>2</v>
      </c>
      <c r="G14" s="49">
        <v>6</v>
      </c>
      <c r="H14" s="49">
        <v>4</v>
      </c>
      <c r="I14" s="49">
        <v>5</v>
      </c>
      <c r="J14" s="49">
        <v>9</v>
      </c>
      <c r="K14" s="49">
        <v>5</v>
      </c>
      <c r="L14" s="49">
        <v>0</v>
      </c>
      <c r="M14" s="49">
        <v>0</v>
      </c>
      <c r="N14" s="49">
        <v>0</v>
      </c>
      <c r="O14" s="49">
        <v>0</v>
      </c>
      <c r="P14" s="49">
        <v>0</v>
      </c>
      <c r="Q14" s="52">
        <v>0</v>
      </c>
    </row>
    <row r="15" spans="2:17" x14ac:dyDescent="0.35">
      <c r="B15" s="45" t="s">
        <v>115</v>
      </c>
      <c r="C15" s="104"/>
      <c r="D15" s="45" t="s">
        <v>127</v>
      </c>
      <c r="E15" s="46">
        <v>4</v>
      </c>
      <c r="F15" s="56">
        <v>1</v>
      </c>
      <c r="G15" s="49">
        <v>3</v>
      </c>
      <c r="H15" s="49">
        <v>3</v>
      </c>
      <c r="I15" s="49">
        <v>4</v>
      </c>
      <c r="J15" s="49">
        <v>4</v>
      </c>
      <c r="K15" s="49">
        <v>0</v>
      </c>
      <c r="L15" s="49">
        <v>0</v>
      </c>
      <c r="M15" s="49">
        <v>0</v>
      </c>
      <c r="N15" s="49">
        <v>0</v>
      </c>
      <c r="O15" s="49">
        <v>0</v>
      </c>
      <c r="P15" s="49">
        <v>0</v>
      </c>
      <c r="Q15" s="52">
        <v>0</v>
      </c>
    </row>
    <row r="16" spans="2:17" x14ac:dyDescent="0.35">
      <c r="B16" s="45" t="s">
        <v>115</v>
      </c>
      <c r="C16" s="104"/>
      <c r="D16" s="45" t="s">
        <v>128</v>
      </c>
      <c r="E16" s="46">
        <v>1</v>
      </c>
      <c r="F16" s="56">
        <v>0</v>
      </c>
      <c r="G16" s="49">
        <v>1</v>
      </c>
      <c r="H16" s="49">
        <v>1</v>
      </c>
      <c r="I16" s="49">
        <v>1</v>
      </c>
      <c r="J16" s="49">
        <v>1</v>
      </c>
      <c r="K16" s="49">
        <v>0</v>
      </c>
      <c r="L16" s="49">
        <v>0</v>
      </c>
      <c r="M16" s="49">
        <v>0</v>
      </c>
      <c r="N16" s="49">
        <v>0</v>
      </c>
      <c r="O16" s="49">
        <v>0</v>
      </c>
      <c r="P16" s="49">
        <v>0</v>
      </c>
      <c r="Q16" s="52">
        <v>0</v>
      </c>
    </row>
    <row r="17" spans="2:17" x14ac:dyDescent="0.35">
      <c r="B17" s="45" t="s">
        <v>129</v>
      </c>
      <c r="C17" s="104" t="s">
        <v>130</v>
      </c>
      <c r="D17" s="45" t="s">
        <v>117</v>
      </c>
      <c r="E17" s="46">
        <v>2</v>
      </c>
      <c r="F17" s="56">
        <v>1</v>
      </c>
      <c r="G17" s="49">
        <v>3</v>
      </c>
      <c r="H17" s="49">
        <v>3</v>
      </c>
      <c r="I17" s="49">
        <v>4</v>
      </c>
      <c r="J17" s="49">
        <v>2</v>
      </c>
      <c r="K17" s="49">
        <v>0</v>
      </c>
      <c r="L17" s="49">
        <v>0</v>
      </c>
      <c r="M17" s="49">
        <v>0</v>
      </c>
      <c r="N17" s="49">
        <v>0</v>
      </c>
      <c r="O17" s="49">
        <v>0</v>
      </c>
      <c r="P17" s="49">
        <v>0</v>
      </c>
      <c r="Q17" s="52">
        <v>0</v>
      </c>
    </row>
    <row r="18" spans="2:17" x14ac:dyDescent="0.35">
      <c r="B18" s="45" t="s">
        <v>129</v>
      </c>
      <c r="C18" s="104"/>
      <c r="D18" s="45" t="s">
        <v>118</v>
      </c>
      <c r="E18" s="47"/>
      <c r="F18" s="56">
        <v>0</v>
      </c>
      <c r="G18" s="49">
        <v>5</v>
      </c>
      <c r="H18" s="49">
        <v>1</v>
      </c>
      <c r="I18" s="49">
        <v>2</v>
      </c>
      <c r="J18" s="49">
        <v>3</v>
      </c>
      <c r="K18" s="49">
        <v>0</v>
      </c>
      <c r="L18" s="49">
        <v>0</v>
      </c>
      <c r="M18" s="49">
        <v>0</v>
      </c>
      <c r="N18" s="49">
        <v>0</v>
      </c>
      <c r="O18" s="49">
        <v>0</v>
      </c>
      <c r="P18" s="49">
        <v>0</v>
      </c>
      <c r="Q18" s="52">
        <v>0</v>
      </c>
    </row>
    <row r="19" spans="2:17" x14ac:dyDescent="0.35">
      <c r="B19" s="45" t="s">
        <v>129</v>
      </c>
      <c r="C19" s="104"/>
      <c r="D19" s="45" t="s">
        <v>119</v>
      </c>
      <c r="E19" s="47"/>
      <c r="F19" s="56">
        <v>0</v>
      </c>
      <c r="G19" s="49">
        <v>2</v>
      </c>
      <c r="H19" s="49">
        <v>2</v>
      </c>
      <c r="I19" s="49">
        <v>12</v>
      </c>
      <c r="J19" s="49">
        <v>8</v>
      </c>
      <c r="K19" s="49">
        <v>3</v>
      </c>
      <c r="L19" s="49">
        <v>0</v>
      </c>
      <c r="M19" s="49">
        <v>0</v>
      </c>
      <c r="N19" s="49">
        <v>0</v>
      </c>
      <c r="O19" s="49">
        <v>0</v>
      </c>
      <c r="P19" s="49">
        <v>0</v>
      </c>
      <c r="Q19" s="52">
        <v>0</v>
      </c>
    </row>
    <row r="20" spans="2:17" x14ac:dyDescent="0.35">
      <c r="B20" s="45" t="s">
        <v>129</v>
      </c>
      <c r="C20" s="104"/>
      <c r="D20" s="45" t="s">
        <v>120</v>
      </c>
      <c r="E20" s="47"/>
      <c r="F20" s="56">
        <v>0</v>
      </c>
      <c r="G20" s="49">
        <v>1</v>
      </c>
      <c r="H20" s="49">
        <v>0</v>
      </c>
      <c r="I20" s="49">
        <v>0</v>
      </c>
      <c r="J20" s="49">
        <v>0</v>
      </c>
      <c r="K20" s="49">
        <v>0</v>
      </c>
      <c r="L20" s="49">
        <v>0</v>
      </c>
      <c r="M20" s="49">
        <v>0</v>
      </c>
      <c r="N20" s="49">
        <v>0</v>
      </c>
      <c r="O20" s="49">
        <v>0</v>
      </c>
      <c r="P20" s="49">
        <v>0</v>
      </c>
      <c r="Q20" s="52">
        <v>0</v>
      </c>
    </row>
    <row r="21" spans="2:17" x14ac:dyDescent="0.35">
      <c r="B21" s="45" t="s">
        <v>129</v>
      </c>
      <c r="C21" s="104"/>
      <c r="D21" s="45" t="s">
        <v>121</v>
      </c>
      <c r="E21" s="47"/>
      <c r="F21" s="56">
        <v>0</v>
      </c>
      <c r="G21" s="49">
        <v>1</v>
      </c>
      <c r="H21" s="49">
        <v>0</v>
      </c>
      <c r="I21" s="49">
        <v>0</v>
      </c>
      <c r="J21" s="49">
        <v>0</v>
      </c>
      <c r="K21" s="49">
        <v>0</v>
      </c>
      <c r="L21" s="49">
        <v>0</v>
      </c>
      <c r="M21" s="49">
        <v>0</v>
      </c>
      <c r="N21" s="49">
        <v>0</v>
      </c>
      <c r="O21" s="49">
        <v>0</v>
      </c>
      <c r="P21" s="49">
        <v>0</v>
      </c>
      <c r="Q21" s="52">
        <v>0</v>
      </c>
    </row>
    <row r="22" spans="2:17" x14ac:dyDescent="0.35">
      <c r="B22" s="45" t="s">
        <v>129</v>
      </c>
      <c r="C22" s="104"/>
      <c r="D22" s="45" t="s">
        <v>68</v>
      </c>
      <c r="E22" s="47"/>
      <c r="F22" s="56">
        <v>0</v>
      </c>
      <c r="G22" s="49">
        <v>0</v>
      </c>
      <c r="H22" s="49">
        <v>0</v>
      </c>
      <c r="I22" s="49">
        <v>1</v>
      </c>
      <c r="J22" s="49">
        <v>0</v>
      </c>
      <c r="K22" s="49">
        <v>0</v>
      </c>
      <c r="L22" s="49">
        <v>0</v>
      </c>
      <c r="M22" s="49">
        <v>0</v>
      </c>
      <c r="N22" s="49">
        <v>0</v>
      </c>
      <c r="O22" s="49">
        <v>0</v>
      </c>
      <c r="P22" s="49">
        <v>0</v>
      </c>
      <c r="Q22" s="52">
        <v>0</v>
      </c>
    </row>
    <row r="23" spans="2:17" x14ac:dyDescent="0.35">
      <c r="B23" s="45" t="s">
        <v>129</v>
      </c>
      <c r="C23" s="104"/>
      <c r="D23" s="45" t="s">
        <v>122</v>
      </c>
      <c r="E23" s="47"/>
      <c r="F23" s="56">
        <v>0</v>
      </c>
      <c r="G23" s="49">
        <v>0</v>
      </c>
      <c r="H23" s="49">
        <v>0</v>
      </c>
      <c r="I23" s="49">
        <v>0</v>
      </c>
      <c r="J23" s="49">
        <v>0</v>
      </c>
      <c r="K23" s="49">
        <v>0</v>
      </c>
      <c r="L23" s="49">
        <v>0</v>
      </c>
      <c r="M23" s="49">
        <v>0</v>
      </c>
      <c r="N23" s="49">
        <v>0</v>
      </c>
      <c r="O23" s="49">
        <v>0</v>
      </c>
      <c r="P23" s="49">
        <v>0</v>
      </c>
      <c r="Q23" s="52">
        <v>0</v>
      </c>
    </row>
    <row r="24" spans="2:17" x14ac:dyDescent="0.35">
      <c r="B24" s="45" t="s">
        <v>129</v>
      </c>
      <c r="C24" s="104"/>
      <c r="D24" s="45" t="s">
        <v>123</v>
      </c>
      <c r="E24" s="47"/>
      <c r="F24" s="56">
        <v>0</v>
      </c>
      <c r="G24" s="49">
        <v>0</v>
      </c>
      <c r="H24" s="49">
        <v>0</v>
      </c>
      <c r="I24" s="49">
        <v>0</v>
      </c>
      <c r="J24" s="49">
        <v>0</v>
      </c>
      <c r="K24" s="49">
        <v>0</v>
      </c>
      <c r="L24" s="49">
        <v>0</v>
      </c>
      <c r="M24" s="49">
        <v>0</v>
      </c>
      <c r="N24" s="49">
        <v>0</v>
      </c>
      <c r="O24" s="49">
        <v>0</v>
      </c>
      <c r="P24" s="49">
        <v>0</v>
      </c>
      <c r="Q24" s="52">
        <v>0</v>
      </c>
    </row>
    <row r="25" spans="2:17" x14ac:dyDescent="0.35">
      <c r="B25" s="45" t="s">
        <v>129</v>
      </c>
      <c r="C25" s="104"/>
      <c r="D25" s="45" t="s">
        <v>124</v>
      </c>
      <c r="E25" s="47"/>
      <c r="F25" s="56">
        <v>0</v>
      </c>
      <c r="G25" s="49">
        <v>0</v>
      </c>
      <c r="H25" s="49">
        <v>0</v>
      </c>
      <c r="I25" s="49">
        <v>0</v>
      </c>
      <c r="J25" s="49">
        <v>0</v>
      </c>
      <c r="K25" s="49">
        <v>0</v>
      </c>
      <c r="L25" s="49">
        <v>0</v>
      </c>
      <c r="M25" s="49">
        <v>0</v>
      </c>
      <c r="N25" s="49">
        <v>0</v>
      </c>
      <c r="O25" s="49">
        <v>0</v>
      </c>
      <c r="P25" s="49">
        <v>0</v>
      </c>
      <c r="Q25" s="52">
        <v>0</v>
      </c>
    </row>
    <row r="26" spans="2:17" x14ac:dyDescent="0.35">
      <c r="B26" s="45" t="s">
        <v>129</v>
      </c>
      <c r="C26" s="104"/>
      <c r="D26" s="45" t="s">
        <v>51</v>
      </c>
      <c r="E26" s="47"/>
      <c r="F26" s="56">
        <v>0</v>
      </c>
      <c r="G26" s="49">
        <v>0</v>
      </c>
      <c r="H26" s="49">
        <v>0</v>
      </c>
      <c r="I26" s="49">
        <v>0</v>
      </c>
      <c r="J26" s="49">
        <v>0</v>
      </c>
      <c r="K26" s="49">
        <v>0</v>
      </c>
      <c r="L26" s="49">
        <v>0</v>
      </c>
      <c r="M26" s="49">
        <v>0</v>
      </c>
      <c r="N26" s="49">
        <v>0</v>
      </c>
      <c r="O26" s="49">
        <v>0</v>
      </c>
      <c r="P26" s="49">
        <v>0</v>
      </c>
      <c r="Q26" s="52">
        <v>0</v>
      </c>
    </row>
    <row r="27" spans="2:17" x14ac:dyDescent="0.35">
      <c r="B27" s="45" t="s">
        <v>129</v>
      </c>
      <c r="C27" s="104"/>
      <c r="D27" s="45" t="s">
        <v>125</v>
      </c>
      <c r="E27" s="46">
        <v>2</v>
      </c>
      <c r="F27" s="56">
        <v>0</v>
      </c>
      <c r="G27" s="49">
        <v>5</v>
      </c>
      <c r="H27" s="49">
        <v>1</v>
      </c>
      <c r="I27" s="49">
        <v>3</v>
      </c>
      <c r="J27" s="49">
        <v>3</v>
      </c>
      <c r="K27" s="49">
        <v>0</v>
      </c>
      <c r="L27" s="49">
        <v>0</v>
      </c>
      <c r="M27" s="49">
        <v>0</v>
      </c>
      <c r="N27" s="49">
        <v>0</v>
      </c>
      <c r="O27" s="49">
        <v>0</v>
      </c>
      <c r="P27" s="49">
        <v>0</v>
      </c>
      <c r="Q27" s="52">
        <v>0</v>
      </c>
    </row>
    <row r="28" spans="2:17" x14ac:dyDescent="0.35">
      <c r="B28" s="45" t="s">
        <v>129</v>
      </c>
      <c r="C28" s="104"/>
      <c r="D28" s="45" t="s">
        <v>126</v>
      </c>
      <c r="E28" s="46">
        <v>4</v>
      </c>
      <c r="F28" s="56">
        <v>0</v>
      </c>
      <c r="G28" s="49">
        <v>2</v>
      </c>
      <c r="H28" s="49">
        <v>1</v>
      </c>
      <c r="I28" s="49">
        <v>3</v>
      </c>
      <c r="J28" s="49">
        <v>3</v>
      </c>
      <c r="K28" s="49">
        <v>4</v>
      </c>
      <c r="L28" s="49">
        <v>0</v>
      </c>
      <c r="M28" s="49">
        <v>0</v>
      </c>
      <c r="N28" s="49">
        <v>0</v>
      </c>
      <c r="O28" s="49">
        <v>0</v>
      </c>
      <c r="P28" s="49">
        <v>0</v>
      </c>
      <c r="Q28" s="52">
        <v>0</v>
      </c>
    </row>
    <row r="29" spans="2:17" x14ac:dyDescent="0.35">
      <c r="B29" s="45" t="s">
        <v>129</v>
      </c>
      <c r="C29" s="104"/>
      <c r="D29" s="45" t="s">
        <v>127</v>
      </c>
      <c r="E29" s="46">
        <v>4</v>
      </c>
      <c r="F29" s="56">
        <v>0</v>
      </c>
      <c r="G29" s="49">
        <v>1</v>
      </c>
      <c r="H29" s="49">
        <v>1</v>
      </c>
      <c r="I29" s="49">
        <v>0</v>
      </c>
      <c r="J29" s="49">
        <v>4</v>
      </c>
      <c r="K29" s="49">
        <v>0</v>
      </c>
      <c r="L29" s="49">
        <v>0</v>
      </c>
      <c r="M29" s="49">
        <v>0</v>
      </c>
      <c r="N29" s="49">
        <v>0</v>
      </c>
      <c r="O29" s="49">
        <v>0</v>
      </c>
      <c r="P29" s="49">
        <v>0</v>
      </c>
      <c r="Q29" s="52">
        <v>0</v>
      </c>
    </row>
    <row r="30" spans="2:17" x14ac:dyDescent="0.35">
      <c r="B30" s="45" t="s">
        <v>129</v>
      </c>
      <c r="C30" s="104"/>
      <c r="D30" s="45" t="s">
        <v>128</v>
      </c>
      <c r="E30" s="46">
        <v>1</v>
      </c>
      <c r="F30" s="56">
        <v>0</v>
      </c>
      <c r="G30" s="49">
        <v>0</v>
      </c>
      <c r="H30" s="49">
        <v>1</v>
      </c>
      <c r="I30" s="49">
        <v>1</v>
      </c>
      <c r="J30" s="49">
        <v>1</v>
      </c>
      <c r="K30" s="49">
        <v>0</v>
      </c>
      <c r="L30" s="49">
        <v>0</v>
      </c>
      <c r="M30" s="49">
        <v>0</v>
      </c>
      <c r="N30" s="49">
        <v>0</v>
      </c>
      <c r="O30" s="49">
        <v>0</v>
      </c>
      <c r="P30" s="49">
        <v>0</v>
      </c>
      <c r="Q30" s="52">
        <v>0</v>
      </c>
    </row>
    <row r="31" spans="2:17" x14ac:dyDescent="0.35">
      <c r="B31" s="45" t="s">
        <v>131</v>
      </c>
      <c r="C31" s="104" t="s">
        <v>132</v>
      </c>
      <c r="D31" s="45" t="s">
        <v>117</v>
      </c>
      <c r="E31" s="46">
        <v>2</v>
      </c>
      <c r="F31" s="56">
        <v>0</v>
      </c>
      <c r="G31" s="49">
        <v>1</v>
      </c>
      <c r="H31" s="49">
        <v>1</v>
      </c>
      <c r="I31" s="49">
        <v>2</v>
      </c>
      <c r="J31" s="49">
        <v>1</v>
      </c>
      <c r="K31" s="49">
        <v>0</v>
      </c>
      <c r="L31" s="49">
        <v>0</v>
      </c>
      <c r="M31" s="49">
        <v>0</v>
      </c>
      <c r="N31" s="49">
        <v>0</v>
      </c>
      <c r="O31" s="49">
        <v>0</v>
      </c>
      <c r="P31" s="49">
        <v>0</v>
      </c>
      <c r="Q31" s="52">
        <v>0</v>
      </c>
    </row>
    <row r="32" spans="2:17" x14ac:dyDescent="0.35">
      <c r="B32" s="45" t="s">
        <v>131</v>
      </c>
      <c r="C32" s="104"/>
      <c r="D32" s="45" t="s">
        <v>118</v>
      </c>
      <c r="E32" s="47"/>
      <c r="F32" s="56">
        <v>0</v>
      </c>
      <c r="G32" s="49">
        <v>1</v>
      </c>
      <c r="H32" s="49">
        <v>0</v>
      </c>
      <c r="I32" s="49">
        <v>4</v>
      </c>
      <c r="J32" s="49">
        <v>0</v>
      </c>
      <c r="K32" s="49">
        <v>3</v>
      </c>
      <c r="L32" s="49">
        <v>0</v>
      </c>
      <c r="M32" s="49">
        <v>0</v>
      </c>
      <c r="N32" s="49">
        <v>0</v>
      </c>
      <c r="O32" s="49">
        <v>0</v>
      </c>
      <c r="P32" s="49">
        <v>0</v>
      </c>
      <c r="Q32" s="52">
        <v>0</v>
      </c>
    </row>
    <row r="33" spans="2:17" x14ac:dyDescent="0.35">
      <c r="B33" s="45" t="s">
        <v>131</v>
      </c>
      <c r="C33" s="104"/>
      <c r="D33" s="45" t="s">
        <v>119</v>
      </c>
      <c r="E33" s="47"/>
      <c r="F33" s="56">
        <v>0</v>
      </c>
      <c r="G33" s="49">
        <v>0</v>
      </c>
      <c r="H33" s="49">
        <v>0</v>
      </c>
      <c r="I33" s="49">
        <v>0</v>
      </c>
      <c r="J33" s="49">
        <v>0</v>
      </c>
      <c r="K33" s="49">
        <v>0</v>
      </c>
      <c r="L33" s="49">
        <v>0</v>
      </c>
      <c r="M33" s="49">
        <v>0</v>
      </c>
      <c r="N33" s="49">
        <v>0</v>
      </c>
      <c r="O33" s="49">
        <v>0</v>
      </c>
      <c r="P33" s="49">
        <v>0</v>
      </c>
      <c r="Q33" s="52">
        <v>0</v>
      </c>
    </row>
    <row r="34" spans="2:17" x14ac:dyDescent="0.35">
      <c r="B34" s="45" t="s">
        <v>131</v>
      </c>
      <c r="C34" s="104"/>
      <c r="D34" s="45" t="s">
        <v>120</v>
      </c>
      <c r="E34" s="47"/>
      <c r="F34" s="56">
        <v>0</v>
      </c>
      <c r="G34" s="49">
        <v>0</v>
      </c>
      <c r="H34" s="49">
        <v>0</v>
      </c>
      <c r="I34" s="49">
        <v>0</v>
      </c>
      <c r="J34" s="49">
        <v>0</v>
      </c>
      <c r="K34" s="49">
        <v>0</v>
      </c>
      <c r="L34" s="49">
        <v>0</v>
      </c>
      <c r="M34" s="49">
        <v>0</v>
      </c>
      <c r="N34" s="49">
        <v>0</v>
      </c>
      <c r="O34" s="49">
        <v>0</v>
      </c>
      <c r="P34" s="49">
        <v>0</v>
      </c>
      <c r="Q34" s="52">
        <v>0</v>
      </c>
    </row>
    <row r="35" spans="2:17" x14ac:dyDescent="0.35">
      <c r="B35" s="45" t="s">
        <v>131</v>
      </c>
      <c r="C35" s="104"/>
      <c r="D35" s="45" t="s">
        <v>121</v>
      </c>
      <c r="E35" s="47"/>
      <c r="F35" s="56">
        <v>0</v>
      </c>
      <c r="G35" s="49">
        <v>0</v>
      </c>
      <c r="H35" s="49">
        <v>0</v>
      </c>
      <c r="I35" s="49">
        <v>0</v>
      </c>
      <c r="J35" s="49">
        <v>0</v>
      </c>
      <c r="K35" s="49">
        <v>0</v>
      </c>
      <c r="L35" s="49">
        <v>0</v>
      </c>
      <c r="M35" s="49">
        <v>0</v>
      </c>
      <c r="N35" s="49">
        <v>0</v>
      </c>
      <c r="O35" s="49">
        <v>0</v>
      </c>
      <c r="P35" s="49">
        <v>0</v>
      </c>
      <c r="Q35" s="52">
        <v>0</v>
      </c>
    </row>
    <row r="36" spans="2:17" x14ac:dyDescent="0.35">
      <c r="B36" s="45" t="s">
        <v>131</v>
      </c>
      <c r="C36" s="104"/>
      <c r="D36" s="45" t="s">
        <v>68</v>
      </c>
      <c r="E36" s="47"/>
      <c r="F36" s="56">
        <v>0</v>
      </c>
      <c r="G36" s="49">
        <v>0</v>
      </c>
      <c r="H36" s="49">
        <v>0</v>
      </c>
      <c r="I36" s="49">
        <v>0</v>
      </c>
      <c r="J36" s="49">
        <v>0</v>
      </c>
      <c r="K36" s="49">
        <v>0</v>
      </c>
      <c r="L36" s="49">
        <v>0</v>
      </c>
      <c r="M36" s="49">
        <v>0</v>
      </c>
      <c r="N36" s="49">
        <v>0</v>
      </c>
      <c r="O36" s="49">
        <v>0</v>
      </c>
      <c r="P36" s="49">
        <v>0</v>
      </c>
      <c r="Q36" s="52">
        <v>0</v>
      </c>
    </row>
    <row r="37" spans="2:17" x14ac:dyDescent="0.35">
      <c r="B37" s="45" t="s">
        <v>131</v>
      </c>
      <c r="C37" s="104"/>
      <c r="D37" s="45" t="s">
        <v>122</v>
      </c>
      <c r="E37" s="47"/>
      <c r="F37" s="56">
        <v>0</v>
      </c>
      <c r="G37" s="49">
        <v>0</v>
      </c>
      <c r="H37" s="49">
        <v>0</v>
      </c>
      <c r="I37" s="49">
        <v>0</v>
      </c>
      <c r="J37" s="49">
        <v>0</v>
      </c>
      <c r="K37" s="49">
        <v>0</v>
      </c>
      <c r="L37" s="49">
        <v>0</v>
      </c>
      <c r="M37" s="49">
        <v>0</v>
      </c>
      <c r="N37" s="49">
        <v>0</v>
      </c>
      <c r="O37" s="49">
        <v>0</v>
      </c>
      <c r="P37" s="49">
        <v>0</v>
      </c>
      <c r="Q37" s="52">
        <v>0</v>
      </c>
    </row>
    <row r="38" spans="2:17" x14ac:dyDescent="0.35">
      <c r="B38" s="45" t="s">
        <v>131</v>
      </c>
      <c r="C38" s="104"/>
      <c r="D38" s="45" t="s">
        <v>123</v>
      </c>
      <c r="E38" s="47"/>
      <c r="F38" s="56">
        <v>0</v>
      </c>
      <c r="G38" s="49">
        <v>0</v>
      </c>
      <c r="H38" s="49">
        <v>0</v>
      </c>
      <c r="I38" s="49">
        <v>0</v>
      </c>
      <c r="J38" s="49">
        <v>0</v>
      </c>
      <c r="K38" s="49">
        <v>0</v>
      </c>
      <c r="L38" s="49">
        <v>0</v>
      </c>
      <c r="M38" s="49">
        <v>0</v>
      </c>
      <c r="N38" s="49">
        <v>0</v>
      </c>
      <c r="O38" s="49">
        <v>0</v>
      </c>
      <c r="P38" s="49">
        <v>0</v>
      </c>
      <c r="Q38" s="52">
        <v>0</v>
      </c>
    </row>
    <row r="39" spans="2:17" x14ac:dyDescent="0.35">
      <c r="B39" s="45" t="s">
        <v>131</v>
      </c>
      <c r="C39" s="104"/>
      <c r="D39" s="45" t="s">
        <v>124</v>
      </c>
      <c r="E39" s="47"/>
      <c r="F39" s="56">
        <v>0</v>
      </c>
      <c r="G39" s="49">
        <v>0</v>
      </c>
      <c r="H39" s="49">
        <v>0</v>
      </c>
      <c r="I39" s="49">
        <v>0</v>
      </c>
      <c r="J39" s="49">
        <v>0</v>
      </c>
      <c r="K39" s="49">
        <v>0</v>
      </c>
      <c r="L39" s="49">
        <v>0</v>
      </c>
      <c r="M39" s="49">
        <v>0</v>
      </c>
      <c r="N39" s="49">
        <v>0</v>
      </c>
      <c r="O39" s="49">
        <v>0</v>
      </c>
      <c r="P39" s="49">
        <v>0</v>
      </c>
      <c r="Q39" s="52">
        <v>0</v>
      </c>
    </row>
    <row r="40" spans="2:17" x14ac:dyDescent="0.35">
      <c r="B40" s="45" t="s">
        <v>131</v>
      </c>
      <c r="C40" s="104"/>
      <c r="D40" s="45" t="s">
        <v>51</v>
      </c>
      <c r="E40" s="47"/>
      <c r="F40" s="56">
        <v>0</v>
      </c>
      <c r="G40" s="49">
        <v>0</v>
      </c>
      <c r="H40" s="49">
        <v>0</v>
      </c>
      <c r="I40" s="49">
        <v>0</v>
      </c>
      <c r="J40" s="49">
        <v>0</v>
      </c>
      <c r="K40" s="49">
        <v>0</v>
      </c>
      <c r="L40" s="49">
        <v>0</v>
      </c>
      <c r="M40" s="49">
        <v>0</v>
      </c>
      <c r="N40" s="49">
        <v>0</v>
      </c>
      <c r="O40" s="49">
        <v>0</v>
      </c>
      <c r="P40" s="49">
        <v>0</v>
      </c>
      <c r="Q40" s="52">
        <v>0</v>
      </c>
    </row>
    <row r="41" spans="2:17" x14ac:dyDescent="0.35">
      <c r="B41" s="45" t="s">
        <v>131</v>
      </c>
      <c r="C41" s="104"/>
      <c r="D41" s="45" t="s">
        <v>125</v>
      </c>
      <c r="E41" s="46">
        <v>2</v>
      </c>
      <c r="F41" s="56">
        <v>0</v>
      </c>
      <c r="G41" s="49">
        <v>0</v>
      </c>
      <c r="H41" s="49">
        <v>1</v>
      </c>
      <c r="I41" s="49">
        <v>3</v>
      </c>
      <c r="J41" s="49">
        <v>4</v>
      </c>
      <c r="K41" s="49">
        <v>0</v>
      </c>
      <c r="L41" s="49">
        <v>0</v>
      </c>
      <c r="M41" s="49">
        <v>0</v>
      </c>
      <c r="N41" s="49">
        <v>0</v>
      </c>
      <c r="O41" s="49">
        <v>0</v>
      </c>
      <c r="P41" s="49">
        <v>0</v>
      </c>
      <c r="Q41" s="52">
        <v>0</v>
      </c>
    </row>
    <row r="42" spans="2:17" x14ac:dyDescent="0.35">
      <c r="B42" s="45" t="s">
        <v>131</v>
      </c>
      <c r="C42" s="104"/>
      <c r="D42" s="45" t="s">
        <v>126</v>
      </c>
      <c r="E42" s="46">
        <v>4</v>
      </c>
      <c r="F42" s="56">
        <v>0</v>
      </c>
      <c r="G42" s="49">
        <v>0</v>
      </c>
      <c r="H42" s="49">
        <v>2</v>
      </c>
      <c r="I42" s="49">
        <v>4</v>
      </c>
      <c r="J42" s="49">
        <v>3</v>
      </c>
      <c r="K42" s="49">
        <v>4</v>
      </c>
      <c r="L42" s="49">
        <v>0</v>
      </c>
      <c r="M42" s="49">
        <v>0</v>
      </c>
      <c r="N42" s="49">
        <v>0</v>
      </c>
      <c r="O42" s="49">
        <v>0</v>
      </c>
      <c r="P42" s="49">
        <v>0</v>
      </c>
      <c r="Q42" s="52">
        <v>0</v>
      </c>
    </row>
    <row r="43" spans="2:17" x14ac:dyDescent="0.35">
      <c r="B43" s="45" t="s">
        <v>131</v>
      </c>
      <c r="C43" s="104"/>
      <c r="D43" s="45" t="s">
        <v>127</v>
      </c>
      <c r="E43" s="46">
        <v>4</v>
      </c>
      <c r="F43" s="56">
        <v>0</v>
      </c>
      <c r="G43" s="49">
        <v>0</v>
      </c>
      <c r="H43" s="49">
        <v>3</v>
      </c>
      <c r="I43" s="49">
        <v>3</v>
      </c>
      <c r="J43" s="49">
        <v>4</v>
      </c>
      <c r="K43" s="49">
        <v>0</v>
      </c>
      <c r="L43" s="49">
        <v>0</v>
      </c>
      <c r="M43" s="49">
        <v>0</v>
      </c>
      <c r="N43" s="49">
        <v>0</v>
      </c>
      <c r="O43" s="49">
        <v>0</v>
      </c>
      <c r="P43" s="49">
        <v>0</v>
      </c>
      <c r="Q43" s="52">
        <v>0</v>
      </c>
    </row>
    <row r="44" spans="2:17" x14ac:dyDescent="0.35">
      <c r="B44" s="45" t="s">
        <v>131</v>
      </c>
      <c r="C44" s="104"/>
      <c r="D44" s="45" t="s">
        <v>128</v>
      </c>
      <c r="E44" s="46">
        <v>1</v>
      </c>
      <c r="F44" s="57">
        <v>0</v>
      </c>
      <c r="G44" s="53">
        <v>0</v>
      </c>
      <c r="H44" s="53">
        <v>0</v>
      </c>
      <c r="I44" s="53">
        <v>1</v>
      </c>
      <c r="J44" s="53">
        <v>1</v>
      </c>
      <c r="K44" s="53">
        <v>0</v>
      </c>
      <c r="L44" s="53">
        <v>0</v>
      </c>
      <c r="M44" s="53">
        <v>0</v>
      </c>
      <c r="N44" s="53">
        <v>0</v>
      </c>
      <c r="O44" s="53">
        <v>0</v>
      </c>
      <c r="P44" s="53">
        <v>0</v>
      </c>
      <c r="Q44" s="54">
        <v>0</v>
      </c>
    </row>
  </sheetData>
  <mergeCells count="3">
    <mergeCell ref="C3:C16"/>
    <mergeCell ref="C17:C30"/>
    <mergeCell ref="C31:C4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7D32"/>
  </sheetPr>
  <dimension ref="A1:N152"/>
  <sheetViews>
    <sheetView zoomScale="70" zoomScaleNormal="70" workbookViewId="0">
      <pane ySplit="1" topLeftCell="A18" activePane="bottomLeft" state="frozen"/>
      <selection pane="bottomLeft" activeCell="E40" sqref="E40"/>
    </sheetView>
  </sheetViews>
  <sheetFormatPr defaultColWidth="8.7265625" defaultRowHeight="14.5" x14ac:dyDescent="0.35"/>
  <cols>
    <col min="1" max="1" width="15.1796875" bestFit="1" customWidth="1"/>
    <col min="2" max="2" width="9.453125" bestFit="1" customWidth="1"/>
    <col min="3" max="3" width="7.7265625" bestFit="1" customWidth="1"/>
    <col min="4" max="4" width="20.26953125" bestFit="1" customWidth="1"/>
    <col min="5" max="5" width="83" style="1" customWidth="1"/>
    <col min="6" max="6" width="18.54296875" bestFit="1" customWidth="1"/>
    <col min="7" max="7" width="13.1796875" bestFit="1" customWidth="1"/>
    <col min="8" max="8" width="13.54296875" bestFit="1" customWidth="1"/>
    <col min="9" max="9" width="20.1796875" bestFit="1" customWidth="1"/>
    <col min="10" max="10" width="21.81640625" bestFit="1" customWidth="1"/>
    <col min="11" max="11" width="11" bestFit="1" customWidth="1"/>
    <col min="12" max="12" width="25.54296875" bestFit="1" customWidth="1"/>
    <col min="13" max="13" width="16" bestFit="1" customWidth="1"/>
    <col min="14" max="14" width="24.54296875" bestFit="1" customWidth="1"/>
  </cols>
  <sheetData>
    <row r="1" spans="1:14" x14ac:dyDescent="0.35">
      <c r="A1" s="39" t="s">
        <v>0</v>
      </c>
      <c r="B1" s="40" t="s">
        <v>1</v>
      </c>
      <c r="C1" s="40" t="s">
        <v>2</v>
      </c>
      <c r="D1" s="40" t="s">
        <v>3</v>
      </c>
      <c r="E1" s="41" t="s">
        <v>4</v>
      </c>
      <c r="F1" s="40" t="s">
        <v>5</v>
      </c>
      <c r="G1" s="40" t="s">
        <v>6</v>
      </c>
      <c r="H1" s="40" t="s">
        <v>7</v>
      </c>
      <c r="I1" s="40" t="s">
        <v>8</v>
      </c>
      <c r="J1" s="40" t="s">
        <v>9</v>
      </c>
      <c r="K1" s="40" t="s">
        <v>10</v>
      </c>
      <c r="L1" s="40" t="s">
        <v>11</v>
      </c>
      <c r="M1" s="40" t="s">
        <v>12</v>
      </c>
      <c r="N1" s="42" t="s">
        <v>13</v>
      </c>
    </row>
    <row r="2" spans="1:14" ht="43.5" x14ac:dyDescent="0.35">
      <c r="A2" s="66">
        <v>45997</v>
      </c>
      <c r="B2" s="67">
        <f t="shared" ref="B2:B26" si="0">IF($A2="","",DATE(YEAR($A2),MONTH($A2),1))</f>
        <v>45992</v>
      </c>
      <c r="C2" s="47"/>
      <c r="D2" s="47" t="s">
        <v>14</v>
      </c>
      <c r="E2" s="68" t="s">
        <v>15</v>
      </c>
      <c r="F2" s="47" t="s">
        <v>16</v>
      </c>
      <c r="G2" s="47"/>
      <c r="H2" s="47" t="s">
        <v>17</v>
      </c>
      <c r="I2" s="47" t="s">
        <v>18</v>
      </c>
      <c r="J2" s="47"/>
      <c r="K2" s="47">
        <v>0</v>
      </c>
      <c r="L2" s="47"/>
      <c r="M2" s="47"/>
      <c r="N2" s="69" t="s">
        <v>19</v>
      </c>
    </row>
    <row r="3" spans="1:14" ht="72.5" x14ac:dyDescent="0.35">
      <c r="A3" s="66">
        <v>46007</v>
      </c>
      <c r="B3" s="67">
        <f t="shared" si="0"/>
        <v>45992</v>
      </c>
      <c r="C3" s="47"/>
      <c r="D3" s="47" t="s">
        <v>14</v>
      </c>
      <c r="E3" s="68" t="s">
        <v>20</v>
      </c>
      <c r="F3" s="47" t="s">
        <v>21</v>
      </c>
      <c r="G3" s="47"/>
      <c r="H3" s="47" t="s">
        <v>17</v>
      </c>
      <c r="I3" s="47" t="s">
        <v>22</v>
      </c>
      <c r="J3" s="47"/>
      <c r="K3" s="47">
        <v>0</v>
      </c>
      <c r="L3" s="47"/>
      <c r="M3" s="47" t="s">
        <v>23</v>
      </c>
      <c r="N3" s="69" t="s">
        <v>18</v>
      </c>
    </row>
    <row r="4" spans="1:14" ht="58" x14ac:dyDescent="0.35">
      <c r="A4" s="66">
        <v>46049</v>
      </c>
      <c r="B4" s="67">
        <f t="shared" si="0"/>
        <v>46023</v>
      </c>
      <c r="C4" s="47"/>
      <c r="D4" s="47" t="s">
        <v>14</v>
      </c>
      <c r="E4" s="68" t="s">
        <v>24</v>
      </c>
      <c r="F4" s="47" t="s">
        <v>21</v>
      </c>
      <c r="G4" s="47"/>
      <c r="H4" s="47" t="s">
        <v>17</v>
      </c>
      <c r="I4" s="47" t="s">
        <v>25</v>
      </c>
      <c r="J4" s="47"/>
      <c r="K4" s="47">
        <v>0</v>
      </c>
      <c r="L4" s="47"/>
      <c r="M4" s="47" t="s">
        <v>23</v>
      </c>
      <c r="N4" s="69" t="s">
        <v>18</v>
      </c>
    </row>
    <row r="5" spans="1:14" ht="58" x14ac:dyDescent="0.35">
      <c r="A5" s="66">
        <v>46063</v>
      </c>
      <c r="B5" s="67">
        <f t="shared" si="0"/>
        <v>46054</v>
      </c>
      <c r="C5" s="47"/>
      <c r="D5" s="47" t="s">
        <v>14</v>
      </c>
      <c r="E5" s="68" t="s">
        <v>26</v>
      </c>
      <c r="F5" s="47" t="s">
        <v>16</v>
      </c>
      <c r="G5" s="47"/>
      <c r="H5" s="47" t="s">
        <v>17</v>
      </c>
      <c r="I5" s="47" t="s">
        <v>18</v>
      </c>
      <c r="J5" s="47"/>
      <c r="K5" s="47">
        <v>0</v>
      </c>
      <c r="L5" s="47"/>
      <c r="M5" s="47"/>
      <c r="N5" s="69" t="s">
        <v>19</v>
      </c>
    </row>
    <row r="6" spans="1:14" ht="43.5" x14ac:dyDescent="0.35">
      <c r="A6" s="66">
        <v>46063</v>
      </c>
      <c r="B6" s="67">
        <f t="shared" si="0"/>
        <v>46054</v>
      </c>
      <c r="C6" s="47"/>
      <c r="D6" s="47" t="s">
        <v>14</v>
      </c>
      <c r="E6" s="68" t="s">
        <v>27</v>
      </c>
      <c r="F6" s="47" t="s">
        <v>21</v>
      </c>
      <c r="G6" s="47"/>
      <c r="H6" s="47" t="s">
        <v>28</v>
      </c>
      <c r="I6" s="47" t="s">
        <v>29</v>
      </c>
      <c r="J6" s="47"/>
      <c r="K6" s="47">
        <v>0</v>
      </c>
      <c r="L6" s="47"/>
      <c r="M6" s="47" t="s">
        <v>23</v>
      </c>
      <c r="N6" s="69" t="s">
        <v>18</v>
      </c>
    </row>
    <row r="7" spans="1:14" ht="43.5" x14ac:dyDescent="0.35">
      <c r="A7" s="66">
        <v>46068</v>
      </c>
      <c r="B7" s="67">
        <f t="shared" si="0"/>
        <v>46054</v>
      </c>
      <c r="C7" s="47"/>
      <c r="D7" s="47" t="s">
        <v>14</v>
      </c>
      <c r="E7" s="68" t="s">
        <v>30</v>
      </c>
      <c r="F7" s="47" t="s">
        <v>21</v>
      </c>
      <c r="G7" s="47"/>
      <c r="H7" s="47" t="s">
        <v>31</v>
      </c>
      <c r="I7" s="47" t="s">
        <v>29</v>
      </c>
      <c r="J7" s="47"/>
      <c r="K7" s="47">
        <v>0</v>
      </c>
      <c r="L7" s="47"/>
      <c r="M7" s="47" t="s">
        <v>23</v>
      </c>
      <c r="N7" s="69" t="s">
        <v>18</v>
      </c>
    </row>
    <row r="8" spans="1:14" ht="43.5" x14ac:dyDescent="0.35">
      <c r="A8" s="66">
        <v>46076</v>
      </c>
      <c r="B8" s="67">
        <f t="shared" si="0"/>
        <v>46054</v>
      </c>
      <c r="C8" s="47"/>
      <c r="D8" s="47" t="s">
        <v>14</v>
      </c>
      <c r="E8" s="68" t="s">
        <v>32</v>
      </c>
      <c r="F8" s="47" t="s">
        <v>16</v>
      </c>
      <c r="G8" s="47"/>
      <c r="H8" s="47" t="s">
        <v>17</v>
      </c>
      <c r="I8" s="47" t="s">
        <v>18</v>
      </c>
      <c r="J8" s="47"/>
      <c r="K8" s="47">
        <v>0</v>
      </c>
      <c r="L8" s="47"/>
      <c r="M8" s="47"/>
      <c r="N8" s="69" t="s">
        <v>19</v>
      </c>
    </row>
    <row r="9" spans="1:14" ht="43.5" x14ac:dyDescent="0.35">
      <c r="A9" s="66">
        <v>46079</v>
      </c>
      <c r="B9" s="67">
        <f t="shared" si="0"/>
        <v>46054</v>
      </c>
      <c r="C9" s="47"/>
      <c r="D9" s="47" t="s">
        <v>14</v>
      </c>
      <c r="E9" s="68" t="s">
        <v>33</v>
      </c>
      <c r="F9" s="47" t="s">
        <v>21</v>
      </c>
      <c r="G9" s="47"/>
      <c r="H9" s="47" t="s">
        <v>17</v>
      </c>
      <c r="I9" s="47" t="s">
        <v>34</v>
      </c>
      <c r="J9" s="47"/>
      <c r="K9" s="47">
        <v>0</v>
      </c>
      <c r="L9" s="47"/>
      <c r="M9" s="47" t="s">
        <v>23</v>
      </c>
      <c r="N9" s="69" t="s">
        <v>18</v>
      </c>
    </row>
    <row r="10" spans="1:14" ht="29" x14ac:dyDescent="0.35">
      <c r="A10" s="66">
        <v>46106</v>
      </c>
      <c r="B10" s="67">
        <f t="shared" si="0"/>
        <v>46082</v>
      </c>
      <c r="C10" s="47"/>
      <c r="D10" s="47" t="s">
        <v>14</v>
      </c>
      <c r="E10" s="68" t="s">
        <v>35</v>
      </c>
      <c r="F10" s="47" t="s">
        <v>16</v>
      </c>
      <c r="G10" s="47"/>
      <c r="H10" s="47" t="s">
        <v>17</v>
      </c>
      <c r="I10" s="47" t="s">
        <v>18</v>
      </c>
      <c r="J10" s="47"/>
      <c r="K10" s="47">
        <v>0</v>
      </c>
      <c r="L10" s="47"/>
      <c r="M10" s="47"/>
      <c r="N10" s="69" t="s">
        <v>19</v>
      </c>
    </row>
    <row r="11" spans="1:14" ht="29" x14ac:dyDescent="0.35">
      <c r="A11" s="66">
        <v>46107</v>
      </c>
      <c r="B11" s="67">
        <f t="shared" si="0"/>
        <v>46082</v>
      </c>
      <c r="C11" s="47"/>
      <c r="D11" s="47" t="s">
        <v>14</v>
      </c>
      <c r="E11" s="68" t="s">
        <v>36</v>
      </c>
      <c r="F11" s="47" t="s">
        <v>16</v>
      </c>
      <c r="G11" s="47"/>
      <c r="H11" s="47" t="s">
        <v>17</v>
      </c>
      <c r="I11" s="47" t="s">
        <v>18</v>
      </c>
      <c r="J11" s="47"/>
      <c r="K11" s="47">
        <v>0</v>
      </c>
      <c r="L11" s="47"/>
      <c r="M11" s="47"/>
      <c r="N11" s="69" t="s">
        <v>19</v>
      </c>
    </row>
    <row r="12" spans="1:14" ht="72.5" x14ac:dyDescent="0.35">
      <c r="A12" s="66">
        <v>46116</v>
      </c>
      <c r="B12" s="67">
        <f t="shared" si="0"/>
        <v>46113</v>
      </c>
      <c r="C12" s="47"/>
      <c r="D12" s="47" t="s">
        <v>14</v>
      </c>
      <c r="E12" s="68" t="s">
        <v>37</v>
      </c>
      <c r="F12" s="47" t="s">
        <v>21</v>
      </c>
      <c r="G12" s="47"/>
      <c r="H12" s="47" t="s">
        <v>31</v>
      </c>
      <c r="I12" s="47" t="s">
        <v>34</v>
      </c>
      <c r="J12" s="47"/>
      <c r="K12" s="47">
        <v>0</v>
      </c>
      <c r="L12" s="47"/>
      <c r="M12" s="47" t="s">
        <v>23</v>
      </c>
      <c r="N12" s="69" t="s">
        <v>18</v>
      </c>
    </row>
    <row r="13" spans="1:14" ht="58" x14ac:dyDescent="0.35">
      <c r="A13" s="66">
        <v>46117</v>
      </c>
      <c r="B13" s="67">
        <f t="shared" si="0"/>
        <v>46113</v>
      </c>
      <c r="C13" s="47"/>
      <c r="D13" s="47" t="s">
        <v>14</v>
      </c>
      <c r="E13" s="68" t="s">
        <v>38</v>
      </c>
      <c r="F13" s="47" t="s">
        <v>21</v>
      </c>
      <c r="G13" s="47"/>
      <c r="H13" s="47" t="s">
        <v>17</v>
      </c>
      <c r="I13" s="47" t="s">
        <v>25</v>
      </c>
      <c r="J13" s="47"/>
      <c r="K13" s="47">
        <v>0</v>
      </c>
      <c r="L13" s="47"/>
      <c r="M13" s="47" t="s">
        <v>23</v>
      </c>
      <c r="N13" s="69" t="s">
        <v>18</v>
      </c>
    </row>
    <row r="14" spans="1:14" ht="29" x14ac:dyDescent="0.35">
      <c r="A14" s="66">
        <v>46119</v>
      </c>
      <c r="B14" s="67">
        <f t="shared" si="0"/>
        <v>46113</v>
      </c>
      <c r="C14" s="47"/>
      <c r="D14" s="47" t="s">
        <v>14</v>
      </c>
      <c r="E14" s="68" t="s">
        <v>39</v>
      </c>
      <c r="F14" s="47" t="s">
        <v>16</v>
      </c>
      <c r="G14" s="47"/>
      <c r="H14" s="47" t="s">
        <v>17</v>
      </c>
      <c r="I14" s="47" t="s">
        <v>18</v>
      </c>
      <c r="J14" s="47"/>
      <c r="K14" s="47">
        <v>0</v>
      </c>
      <c r="L14" s="47"/>
      <c r="M14" s="47" t="s">
        <v>18</v>
      </c>
      <c r="N14" s="69" t="s">
        <v>19</v>
      </c>
    </row>
    <row r="15" spans="1:14" ht="72.5" x14ac:dyDescent="0.35">
      <c r="A15" s="66">
        <v>46133</v>
      </c>
      <c r="B15" s="67">
        <f t="shared" si="0"/>
        <v>46113</v>
      </c>
      <c r="C15" s="47"/>
      <c r="D15" s="47" t="s">
        <v>14</v>
      </c>
      <c r="E15" s="68" t="s">
        <v>40</v>
      </c>
      <c r="F15" s="47" t="s">
        <v>21</v>
      </c>
      <c r="G15" s="47"/>
      <c r="H15" s="47" t="s">
        <v>17</v>
      </c>
      <c r="I15" s="47" t="s">
        <v>18</v>
      </c>
      <c r="J15" s="47"/>
      <c r="K15" s="47">
        <v>0</v>
      </c>
      <c r="L15" s="47"/>
      <c r="M15" s="47" t="s">
        <v>18</v>
      </c>
      <c r="N15" s="69" t="s">
        <v>18</v>
      </c>
    </row>
    <row r="16" spans="1:14" ht="58" x14ac:dyDescent="0.35">
      <c r="A16" s="66">
        <v>46135</v>
      </c>
      <c r="B16" s="67">
        <f t="shared" si="0"/>
        <v>46113</v>
      </c>
      <c r="C16" s="47"/>
      <c r="D16" s="47" t="s">
        <v>14</v>
      </c>
      <c r="E16" s="68" t="s">
        <v>41</v>
      </c>
      <c r="F16" s="47" t="s">
        <v>21</v>
      </c>
      <c r="G16" s="47"/>
      <c r="H16" s="47" t="s">
        <v>17</v>
      </c>
      <c r="I16" s="47" t="s">
        <v>22</v>
      </c>
      <c r="J16" s="47"/>
      <c r="K16" s="47">
        <v>0</v>
      </c>
      <c r="L16" s="47"/>
      <c r="M16" s="47" t="s">
        <v>23</v>
      </c>
      <c r="N16" s="69" t="s">
        <v>18</v>
      </c>
    </row>
    <row r="17" spans="1:14" ht="29" x14ac:dyDescent="0.35">
      <c r="A17" s="66">
        <v>46145</v>
      </c>
      <c r="B17" s="67">
        <f t="shared" si="0"/>
        <v>46143</v>
      </c>
      <c r="C17" s="47"/>
      <c r="D17" s="47" t="s">
        <v>14</v>
      </c>
      <c r="E17" s="68" t="s">
        <v>42</v>
      </c>
      <c r="F17" s="47" t="s">
        <v>21</v>
      </c>
      <c r="G17" s="47"/>
      <c r="H17" s="47" t="s">
        <v>17</v>
      </c>
      <c r="I17" s="47" t="s">
        <v>29</v>
      </c>
      <c r="J17" s="47"/>
      <c r="K17" s="47">
        <v>0</v>
      </c>
      <c r="L17" s="47"/>
      <c r="M17" s="47" t="s">
        <v>23</v>
      </c>
      <c r="N17" s="69" t="s">
        <v>18</v>
      </c>
    </row>
    <row r="18" spans="1:14" ht="72.5" x14ac:dyDescent="0.35">
      <c r="A18" s="66">
        <v>46148</v>
      </c>
      <c r="B18" s="67">
        <f t="shared" si="0"/>
        <v>46143</v>
      </c>
      <c r="C18" s="47"/>
      <c r="D18" s="47" t="s">
        <v>14</v>
      </c>
      <c r="E18" s="68" t="s">
        <v>43</v>
      </c>
      <c r="F18" s="47" t="s">
        <v>21</v>
      </c>
      <c r="G18" s="47"/>
      <c r="H18" s="47" t="s">
        <v>17</v>
      </c>
      <c r="I18" s="47" t="s">
        <v>18</v>
      </c>
      <c r="J18" s="47"/>
      <c r="K18" s="47">
        <v>0</v>
      </c>
      <c r="L18" s="47"/>
      <c r="M18" s="47" t="s">
        <v>18</v>
      </c>
      <c r="N18" s="69" t="s">
        <v>18</v>
      </c>
    </row>
    <row r="19" spans="1:14" ht="72.5" x14ac:dyDescent="0.35">
      <c r="A19" s="66">
        <v>46153</v>
      </c>
      <c r="B19" s="67">
        <f t="shared" si="0"/>
        <v>46143</v>
      </c>
      <c r="C19" s="47"/>
      <c r="D19" s="47" t="s">
        <v>14</v>
      </c>
      <c r="E19" s="68" t="s">
        <v>44</v>
      </c>
      <c r="F19" s="47" t="s">
        <v>16</v>
      </c>
      <c r="G19" s="47"/>
      <c r="H19" s="47" t="s">
        <v>17</v>
      </c>
      <c r="I19" s="47" t="s">
        <v>18</v>
      </c>
      <c r="J19" s="47"/>
      <c r="K19" s="47">
        <v>0</v>
      </c>
      <c r="L19" s="47"/>
      <c r="M19" s="47" t="s">
        <v>18</v>
      </c>
      <c r="N19" s="69" t="s">
        <v>19</v>
      </c>
    </row>
    <row r="20" spans="1:14" ht="87" x14ac:dyDescent="0.35">
      <c r="A20" s="66">
        <v>46156</v>
      </c>
      <c r="B20" s="67">
        <f t="shared" si="0"/>
        <v>46143</v>
      </c>
      <c r="C20" s="47"/>
      <c r="D20" s="47" t="s">
        <v>14</v>
      </c>
      <c r="E20" s="68" t="s">
        <v>45</v>
      </c>
      <c r="F20" s="47" t="s">
        <v>21</v>
      </c>
      <c r="G20" s="47"/>
      <c r="H20" s="47" t="s">
        <v>46</v>
      </c>
      <c r="I20" s="47" t="s">
        <v>18</v>
      </c>
      <c r="J20" s="47"/>
      <c r="K20" s="47">
        <v>0</v>
      </c>
      <c r="L20" s="47"/>
      <c r="M20" s="47" t="s">
        <v>18</v>
      </c>
      <c r="N20" s="69" t="s">
        <v>18</v>
      </c>
    </row>
    <row r="21" spans="1:14" ht="87" x14ac:dyDescent="0.35">
      <c r="A21" s="66">
        <v>46157</v>
      </c>
      <c r="B21" s="67">
        <f t="shared" si="0"/>
        <v>46143</v>
      </c>
      <c r="C21" s="47"/>
      <c r="D21" s="47" t="s">
        <v>14</v>
      </c>
      <c r="E21" s="68" t="s">
        <v>47</v>
      </c>
      <c r="F21" s="47" t="s">
        <v>16</v>
      </c>
      <c r="G21" s="47"/>
      <c r="H21" s="47" t="s">
        <v>17</v>
      </c>
      <c r="I21" s="47" t="s">
        <v>18</v>
      </c>
      <c r="J21" s="47"/>
      <c r="K21" s="47">
        <v>0</v>
      </c>
      <c r="L21" s="47"/>
      <c r="M21" s="47" t="s">
        <v>18</v>
      </c>
      <c r="N21" s="69" t="s">
        <v>19</v>
      </c>
    </row>
    <row r="22" spans="1:14" ht="29" x14ac:dyDescent="0.35">
      <c r="A22" s="66">
        <v>46158</v>
      </c>
      <c r="B22" s="67">
        <f t="shared" si="0"/>
        <v>46143</v>
      </c>
      <c r="C22" s="47"/>
      <c r="D22" s="47" t="s">
        <v>14</v>
      </c>
      <c r="E22" s="68" t="s">
        <v>48</v>
      </c>
      <c r="F22" s="47" t="s">
        <v>21</v>
      </c>
      <c r="G22" s="47"/>
      <c r="H22" s="47" t="s">
        <v>17</v>
      </c>
      <c r="I22" s="47" t="s">
        <v>18</v>
      </c>
      <c r="J22" s="47"/>
      <c r="K22" s="47">
        <v>0</v>
      </c>
      <c r="L22" s="47"/>
      <c r="M22" s="47" t="s">
        <v>18</v>
      </c>
      <c r="N22" s="69" t="s">
        <v>18</v>
      </c>
    </row>
    <row r="23" spans="1:14" ht="72.5" x14ac:dyDescent="0.35">
      <c r="A23" s="70">
        <v>46172</v>
      </c>
      <c r="B23" s="71">
        <f t="shared" si="0"/>
        <v>46143</v>
      </c>
      <c r="C23" s="72"/>
      <c r="D23" s="72" t="s">
        <v>49</v>
      </c>
      <c r="E23" s="73" t="s">
        <v>50</v>
      </c>
      <c r="F23" s="72" t="s">
        <v>51</v>
      </c>
      <c r="G23" s="72"/>
      <c r="H23" s="72" t="s">
        <v>17</v>
      </c>
      <c r="I23" s="72" t="s">
        <v>34</v>
      </c>
      <c r="J23" s="72"/>
      <c r="K23" s="72">
        <v>0</v>
      </c>
      <c r="L23" s="72"/>
      <c r="M23" s="72" t="s">
        <v>52</v>
      </c>
      <c r="N23" s="74" t="s">
        <v>53</v>
      </c>
    </row>
    <row r="24" spans="1:14" ht="130.5" x14ac:dyDescent="0.35">
      <c r="A24" s="75">
        <v>46201</v>
      </c>
      <c r="B24" s="71">
        <f t="shared" si="0"/>
        <v>46174</v>
      </c>
      <c r="C24" s="72"/>
      <c r="D24" s="72" t="s">
        <v>14</v>
      </c>
      <c r="E24" s="73" t="s">
        <v>223</v>
      </c>
      <c r="F24" s="72" t="s">
        <v>16</v>
      </c>
      <c r="G24" s="72" t="s">
        <v>197</v>
      </c>
      <c r="H24" s="72" t="s">
        <v>17</v>
      </c>
      <c r="I24" s="72" t="s">
        <v>18</v>
      </c>
      <c r="J24" s="72"/>
      <c r="K24" s="72">
        <v>0</v>
      </c>
      <c r="L24" s="72"/>
      <c r="M24" s="72" t="s">
        <v>18</v>
      </c>
      <c r="N24" s="74" t="s">
        <v>19</v>
      </c>
    </row>
    <row r="25" spans="1:14" ht="116" x14ac:dyDescent="0.35">
      <c r="A25" s="75">
        <v>46201</v>
      </c>
      <c r="B25" s="71">
        <f t="shared" si="0"/>
        <v>46174</v>
      </c>
      <c r="C25" s="47"/>
      <c r="D25" s="72" t="s">
        <v>14</v>
      </c>
      <c r="E25" s="68" t="s">
        <v>224</v>
      </c>
      <c r="F25" s="72" t="s">
        <v>16</v>
      </c>
      <c r="G25" s="72" t="s">
        <v>197</v>
      </c>
      <c r="H25" s="72" t="s">
        <v>17</v>
      </c>
      <c r="I25" s="72" t="s">
        <v>18</v>
      </c>
      <c r="J25" s="47"/>
      <c r="K25" s="72">
        <v>0</v>
      </c>
      <c r="L25" s="47"/>
      <c r="M25" s="72" t="s">
        <v>18</v>
      </c>
      <c r="N25" s="74" t="s">
        <v>19</v>
      </c>
    </row>
    <row r="26" spans="1:14" x14ac:dyDescent="0.35">
      <c r="A26" s="75"/>
      <c r="B26" s="71"/>
      <c r="C26" s="47"/>
      <c r="D26" s="72"/>
      <c r="E26" s="68"/>
      <c r="F26" s="72"/>
      <c r="G26" s="72"/>
      <c r="H26" s="72"/>
      <c r="I26" s="72"/>
      <c r="J26" s="47"/>
      <c r="K26" s="72"/>
      <c r="L26" s="47"/>
      <c r="M26" s="72"/>
      <c r="N26" s="74"/>
    </row>
    <row r="27" spans="1:14" x14ac:dyDescent="0.35">
      <c r="A27" s="65"/>
    </row>
    <row r="28" spans="1:14" x14ac:dyDescent="0.35">
      <c r="A28" s="65"/>
    </row>
    <row r="29" spans="1:14" x14ac:dyDescent="0.35">
      <c r="A29" s="65"/>
    </row>
    <row r="30" spans="1:14" x14ac:dyDescent="0.35">
      <c r="A30" s="65"/>
    </row>
    <row r="31" spans="1:14" x14ac:dyDescent="0.35">
      <c r="A31" s="65"/>
    </row>
    <row r="32" spans="1:14" x14ac:dyDescent="0.35">
      <c r="A32" s="65"/>
    </row>
    <row r="33" spans="1:1" x14ac:dyDescent="0.35">
      <c r="A33" s="65"/>
    </row>
    <row r="34" spans="1:1" x14ac:dyDescent="0.35">
      <c r="A34" s="65"/>
    </row>
    <row r="35" spans="1:1" x14ac:dyDescent="0.35">
      <c r="A35" s="65"/>
    </row>
    <row r="36" spans="1:1" x14ac:dyDescent="0.35">
      <c r="A36" s="65"/>
    </row>
    <row r="37" spans="1:1" x14ac:dyDescent="0.35">
      <c r="A37" s="65"/>
    </row>
    <row r="38" spans="1:1" x14ac:dyDescent="0.35">
      <c r="A38" s="65"/>
    </row>
    <row r="39" spans="1:1" x14ac:dyDescent="0.35">
      <c r="A39" s="65"/>
    </row>
    <row r="40" spans="1:1" x14ac:dyDescent="0.35">
      <c r="A40" s="65"/>
    </row>
    <row r="41" spans="1:1" x14ac:dyDescent="0.35">
      <c r="A41" s="65"/>
    </row>
    <row r="42" spans="1:1" x14ac:dyDescent="0.35">
      <c r="A42" s="65"/>
    </row>
    <row r="43" spans="1:1" x14ac:dyDescent="0.35">
      <c r="A43" s="65"/>
    </row>
    <row r="44" spans="1:1" x14ac:dyDescent="0.35">
      <c r="A44" s="65"/>
    </row>
    <row r="45" spans="1:1" x14ac:dyDescent="0.35">
      <c r="A45" s="65"/>
    </row>
    <row r="46" spans="1:1" x14ac:dyDescent="0.35">
      <c r="A46" s="65"/>
    </row>
    <row r="47" spans="1:1" x14ac:dyDescent="0.35">
      <c r="A47" s="65"/>
    </row>
    <row r="48" spans="1:1" x14ac:dyDescent="0.35">
      <c r="A48" s="65"/>
    </row>
    <row r="49" spans="1:1" x14ac:dyDescent="0.35">
      <c r="A49" s="65"/>
    </row>
    <row r="50" spans="1:1" x14ac:dyDescent="0.35">
      <c r="A50" s="65"/>
    </row>
    <row r="51" spans="1:1" x14ac:dyDescent="0.35">
      <c r="A51" s="65"/>
    </row>
    <row r="52" spans="1:1" x14ac:dyDescent="0.35">
      <c r="A52" s="65"/>
    </row>
    <row r="53" spans="1:1" x14ac:dyDescent="0.35">
      <c r="A53" s="65"/>
    </row>
    <row r="54" spans="1:1" x14ac:dyDescent="0.35">
      <c r="A54" s="65"/>
    </row>
    <row r="55" spans="1:1" x14ac:dyDescent="0.35">
      <c r="A55" s="65"/>
    </row>
    <row r="56" spans="1:1" x14ac:dyDescent="0.35">
      <c r="A56" s="65"/>
    </row>
    <row r="57" spans="1:1" x14ac:dyDescent="0.35">
      <c r="A57" s="65"/>
    </row>
    <row r="58" spans="1:1" x14ac:dyDescent="0.35">
      <c r="A58" s="65"/>
    </row>
    <row r="59" spans="1:1" x14ac:dyDescent="0.35">
      <c r="A59" s="65"/>
    </row>
    <row r="60" spans="1:1" x14ac:dyDescent="0.35">
      <c r="A60" s="65"/>
    </row>
    <row r="61" spans="1:1" x14ac:dyDescent="0.35">
      <c r="A61" s="65"/>
    </row>
    <row r="62" spans="1:1" x14ac:dyDescent="0.35">
      <c r="A62" s="65"/>
    </row>
    <row r="63" spans="1:1" x14ac:dyDescent="0.35">
      <c r="A63" s="65"/>
    </row>
    <row r="64" spans="1:1" x14ac:dyDescent="0.35">
      <c r="A64" s="65"/>
    </row>
    <row r="65" spans="1:1" x14ac:dyDescent="0.35">
      <c r="A65" s="65"/>
    </row>
    <row r="66" spans="1:1" x14ac:dyDescent="0.35">
      <c r="A66" s="65"/>
    </row>
    <row r="67" spans="1:1" x14ac:dyDescent="0.35">
      <c r="A67" s="65"/>
    </row>
    <row r="68" spans="1:1" x14ac:dyDescent="0.35">
      <c r="A68" s="65"/>
    </row>
    <row r="69" spans="1:1" x14ac:dyDescent="0.35">
      <c r="A69" s="65"/>
    </row>
    <row r="70" spans="1:1" x14ac:dyDescent="0.35">
      <c r="A70" s="65"/>
    </row>
    <row r="71" spans="1:1" x14ac:dyDescent="0.35">
      <c r="A71" s="65"/>
    </row>
    <row r="72" spans="1:1" x14ac:dyDescent="0.35">
      <c r="A72" s="65"/>
    </row>
    <row r="73" spans="1:1" x14ac:dyDescent="0.35">
      <c r="A73" s="65"/>
    </row>
    <row r="74" spans="1:1" x14ac:dyDescent="0.35">
      <c r="A74" s="65"/>
    </row>
    <row r="75" spans="1:1" x14ac:dyDescent="0.35">
      <c r="A75" s="65"/>
    </row>
    <row r="76" spans="1:1" x14ac:dyDescent="0.35">
      <c r="A76" s="65"/>
    </row>
    <row r="77" spans="1:1" x14ac:dyDescent="0.35">
      <c r="A77" s="65"/>
    </row>
    <row r="78" spans="1:1" x14ac:dyDescent="0.35">
      <c r="A78" s="65"/>
    </row>
    <row r="79" spans="1:1" x14ac:dyDescent="0.35">
      <c r="A79" s="65"/>
    </row>
    <row r="80" spans="1:1" x14ac:dyDescent="0.35">
      <c r="A80" s="65"/>
    </row>
    <row r="81" spans="1:1" x14ac:dyDescent="0.35">
      <c r="A81" s="65"/>
    </row>
    <row r="82" spans="1:1" x14ac:dyDescent="0.35">
      <c r="A82" s="65"/>
    </row>
    <row r="83" spans="1:1" x14ac:dyDescent="0.35">
      <c r="A83" s="65"/>
    </row>
    <row r="84" spans="1:1" x14ac:dyDescent="0.35">
      <c r="A84" s="65"/>
    </row>
    <row r="85" spans="1:1" x14ac:dyDescent="0.35">
      <c r="A85" s="65"/>
    </row>
    <row r="86" spans="1:1" x14ac:dyDescent="0.35">
      <c r="A86" s="65"/>
    </row>
    <row r="87" spans="1:1" x14ac:dyDescent="0.35">
      <c r="A87" s="65"/>
    </row>
    <row r="88" spans="1:1" x14ac:dyDescent="0.35">
      <c r="A88" s="65"/>
    </row>
    <row r="89" spans="1:1" x14ac:dyDescent="0.35">
      <c r="A89" s="65"/>
    </row>
    <row r="90" spans="1:1" x14ac:dyDescent="0.35">
      <c r="A90" s="65"/>
    </row>
    <row r="91" spans="1:1" x14ac:dyDescent="0.35">
      <c r="A91" s="65"/>
    </row>
    <row r="92" spans="1:1" x14ac:dyDescent="0.35">
      <c r="A92" s="65"/>
    </row>
    <row r="93" spans="1:1" x14ac:dyDescent="0.35">
      <c r="A93" s="65"/>
    </row>
    <row r="94" spans="1:1" x14ac:dyDescent="0.35">
      <c r="A94" s="65"/>
    </row>
    <row r="95" spans="1:1" x14ac:dyDescent="0.35">
      <c r="A95" s="65"/>
    </row>
    <row r="96" spans="1:1" x14ac:dyDescent="0.35">
      <c r="A96" s="65"/>
    </row>
    <row r="97" spans="1:1" x14ac:dyDescent="0.35">
      <c r="A97" s="65"/>
    </row>
    <row r="98" spans="1:1" x14ac:dyDescent="0.35">
      <c r="A98" s="65"/>
    </row>
    <row r="99" spans="1:1" x14ac:dyDescent="0.35">
      <c r="A99" s="65"/>
    </row>
    <row r="100" spans="1:1" x14ac:dyDescent="0.35">
      <c r="A100" s="65"/>
    </row>
    <row r="101" spans="1:1" x14ac:dyDescent="0.35">
      <c r="A101" s="65"/>
    </row>
    <row r="102" spans="1:1" x14ac:dyDescent="0.35">
      <c r="A102" s="65"/>
    </row>
    <row r="103" spans="1:1" x14ac:dyDescent="0.35">
      <c r="A103" s="65"/>
    </row>
    <row r="104" spans="1:1" x14ac:dyDescent="0.35">
      <c r="A104" s="65"/>
    </row>
    <row r="105" spans="1:1" x14ac:dyDescent="0.35">
      <c r="A105" s="65"/>
    </row>
    <row r="106" spans="1:1" x14ac:dyDescent="0.35">
      <c r="A106" s="65"/>
    </row>
    <row r="107" spans="1:1" x14ac:dyDescent="0.35">
      <c r="A107" s="65"/>
    </row>
    <row r="108" spans="1:1" x14ac:dyDescent="0.35">
      <c r="A108" s="65"/>
    </row>
    <row r="109" spans="1:1" x14ac:dyDescent="0.35">
      <c r="A109" s="65"/>
    </row>
    <row r="110" spans="1:1" x14ac:dyDescent="0.35">
      <c r="A110" s="65"/>
    </row>
    <row r="111" spans="1:1" x14ac:dyDescent="0.35">
      <c r="A111" s="65"/>
    </row>
    <row r="112" spans="1:1" x14ac:dyDescent="0.35">
      <c r="A112" s="65"/>
    </row>
    <row r="113" spans="1:1" x14ac:dyDescent="0.35">
      <c r="A113" s="65"/>
    </row>
    <row r="114" spans="1:1" x14ac:dyDescent="0.35">
      <c r="A114" s="65"/>
    </row>
    <row r="115" spans="1:1" x14ac:dyDescent="0.35">
      <c r="A115" s="65"/>
    </row>
    <row r="116" spans="1:1" x14ac:dyDescent="0.35">
      <c r="A116" s="65"/>
    </row>
    <row r="117" spans="1:1" x14ac:dyDescent="0.35">
      <c r="A117" s="65"/>
    </row>
    <row r="118" spans="1:1" x14ac:dyDescent="0.35">
      <c r="A118" s="65"/>
    </row>
    <row r="119" spans="1:1" x14ac:dyDescent="0.35">
      <c r="A119" s="65"/>
    </row>
    <row r="120" spans="1:1" x14ac:dyDescent="0.35">
      <c r="A120" s="65"/>
    </row>
    <row r="121" spans="1:1" x14ac:dyDescent="0.35">
      <c r="A121" s="65"/>
    </row>
    <row r="122" spans="1:1" x14ac:dyDescent="0.35">
      <c r="A122" s="65"/>
    </row>
    <row r="123" spans="1:1" x14ac:dyDescent="0.35">
      <c r="A123" s="65"/>
    </row>
    <row r="124" spans="1:1" x14ac:dyDescent="0.35">
      <c r="A124" s="65"/>
    </row>
    <row r="125" spans="1:1" x14ac:dyDescent="0.35">
      <c r="A125" s="65"/>
    </row>
    <row r="126" spans="1:1" x14ac:dyDescent="0.35">
      <c r="A126" s="65"/>
    </row>
    <row r="127" spans="1:1" x14ac:dyDescent="0.35">
      <c r="A127" s="65"/>
    </row>
    <row r="128" spans="1:1" x14ac:dyDescent="0.35">
      <c r="A128" s="65"/>
    </row>
    <row r="129" spans="1:1" x14ac:dyDescent="0.35">
      <c r="A129" s="65"/>
    </row>
    <row r="130" spans="1:1" x14ac:dyDescent="0.35">
      <c r="A130" s="65"/>
    </row>
    <row r="131" spans="1:1" x14ac:dyDescent="0.35">
      <c r="A131" s="65"/>
    </row>
    <row r="132" spans="1:1" x14ac:dyDescent="0.35">
      <c r="A132" s="65"/>
    </row>
    <row r="133" spans="1:1" x14ac:dyDescent="0.35">
      <c r="A133" s="65"/>
    </row>
    <row r="134" spans="1:1" x14ac:dyDescent="0.35">
      <c r="A134" s="65"/>
    </row>
    <row r="135" spans="1:1" x14ac:dyDescent="0.35">
      <c r="A135" s="65"/>
    </row>
    <row r="136" spans="1:1" x14ac:dyDescent="0.35">
      <c r="A136" s="65"/>
    </row>
    <row r="137" spans="1:1" x14ac:dyDescent="0.35">
      <c r="A137" s="65"/>
    </row>
    <row r="138" spans="1:1" x14ac:dyDescent="0.35">
      <c r="A138" s="65"/>
    </row>
    <row r="139" spans="1:1" x14ac:dyDescent="0.35">
      <c r="A139" s="65"/>
    </row>
    <row r="140" spans="1:1" x14ac:dyDescent="0.35">
      <c r="A140" s="65"/>
    </row>
    <row r="141" spans="1:1" x14ac:dyDescent="0.35">
      <c r="A141" s="65"/>
    </row>
    <row r="142" spans="1:1" x14ac:dyDescent="0.35">
      <c r="A142" s="65"/>
    </row>
    <row r="143" spans="1:1" x14ac:dyDescent="0.35">
      <c r="A143" s="65"/>
    </row>
    <row r="144" spans="1:1" x14ac:dyDescent="0.35">
      <c r="A144" s="65"/>
    </row>
    <row r="145" spans="1:1" x14ac:dyDescent="0.35">
      <c r="A145" s="65"/>
    </row>
    <row r="146" spans="1:1" x14ac:dyDescent="0.35">
      <c r="A146" s="65"/>
    </row>
    <row r="147" spans="1:1" x14ac:dyDescent="0.35">
      <c r="A147" s="65"/>
    </row>
    <row r="148" spans="1:1" x14ac:dyDescent="0.35">
      <c r="A148" s="65"/>
    </row>
    <row r="149" spans="1:1" x14ac:dyDescent="0.35">
      <c r="A149" s="65"/>
    </row>
    <row r="150" spans="1:1" x14ac:dyDescent="0.35">
      <c r="A150" s="65"/>
    </row>
    <row r="151" spans="1:1" x14ac:dyDescent="0.35">
      <c r="A151" s="65"/>
    </row>
    <row r="152" spans="1:1" x14ac:dyDescent="0.35">
      <c r="A152" s="65"/>
    </row>
  </sheetData>
  <pageMargins left="0.75" right="0.75" top="1" bottom="1" header="0.511811023622047" footer="0.511811023622047"/>
  <pageSetup paperSize="9" orientation="portrait" horizontalDpi="300" verticalDpi="300"/>
  <legacyDrawing r:id="rId1"/>
  <tableParts count="1">
    <tablePart r:id="rId2"/>
  </tableParts>
  <extLst>
    <ext xmlns:x14="http://schemas.microsoft.com/office/spreadsheetml/2009/9/main" uri="{CCE6A557-97BC-4b89-ADB6-D9C93CAAB3DF}">
      <x14:dataValidations xmlns:xm="http://schemas.microsoft.com/office/excel/2006/main" count="7">
        <x14:dataValidation type="list" allowBlank="1" xr:uid="{00000000-0002-0000-0000-000000000000}">
          <x14:formula1>
            <xm:f>Lists!$A$2:$A$16</xm:f>
          </x14:formula1>
          <x14:formula2>
            <xm:f>0</xm:f>
          </x14:formula2>
          <xm:sqref>D2:D402</xm:sqref>
        </x14:dataValidation>
        <x14:dataValidation type="list" allowBlank="1" xr:uid="{00000000-0002-0000-0000-000001000000}">
          <x14:formula1>
            <xm:f>Lists!$B$2:$B$6</xm:f>
          </x14:formula1>
          <x14:formula2>
            <xm:f>0</xm:f>
          </x14:formula2>
          <xm:sqref>F2:F402</xm:sqref>
        </x14:dataValidation>
        <x14:dataValidation type="list" allowBlank="1" xr:uid="{00000000-0002-0000-0000-000002000000}">
          <x14:formula1>
            <xm:f>Lists!$G$2:$G$4</xm:f>
          </x14:formula1>
          <x14:formula2>
            <xm:f>0</xm:f>
          </x14:formula2>
          <xm:sqref>G2:G402</xm:sqref>
        </x14:dataValidation>
        <x14:dataValidation type="list" allowBlank="1" xr:uid="{00000000-0002-0000-0000-000003000000}">
          <x14:formula1>
            <xm:f>Lists!$C$2:$C$6</xm:f>
          </x14:formula1>
          <x14:formula2>
            <xm:f>0</xm:f>
          </x14:formula2>
          <xm:sqref>H2:H402</xm:sqref>
        </x14:dataValidation>
        <x14:dataValidation type="list" allowBlank="1" xr:uid="{00000000-0002-0000-0000-000004000000}">
          <x14:formula1>
            <xm:f>Lists!$F$2:$F$8</xm:f>
          </x14:formula1>
          <x14:formula2>
            <xm:f>0</xm:f>
          </x14:formula2>
          <xm:sqref>I2:I402</xm:sqref>
        </x14:dataValidation>
        <x14:dataValidation type="list" allowBlank="1" xr:uid="{00000000-0002-0000-0000-000005000000}">
          <x14:formula1>
            <xm:f>Lists!$D$2:$D$7</xm:f>
          </x14:formula1>
          <x14:formula2>
            <xm:f>0</xm:f>
          </x14:formula2>
          <xm:sqref>M2:M402</xm:sqref>
        </x14:dataValidation>
        <x14:dataValidation type="list" allowBlank="1" xr:uid="{00000000-0002-0000-0000-000006000000}">
          <x14:formula1>
            <xm:f>Lists!$E$2:$E$5</xm:f>
          </x14:formula1>
          <x14:formula2>
            <xm:f>0</xm:f>
          </x14:formula2>
          <xm:sqref>N2:N402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E79D3-0125-4F32-B9FB-6285DC5A2CB4}">
  <sheetPr>
    <tabColor theme="0" tint="-0.499984740745262"/>
  </sheetPr>
  <dimension ref="B1:AB36"/>
  <sheetViews>
    <sheetView zoomScale="80" zoomScaleNormal="80" workbookViewId="0">
      <selection activeCell="N41" sqref="N41"/>
    </sheetView>
  </sheetViews>
  <sheetFormatPr defaultColWidth="9.1796875" defaultRowHeight="15.5" x14ac:dyDescent="0.35"/>
  <cols>
    <col min="1" max="1" width="1.81640625" style="6" customWidth="1"/>
    <col min="2" max="2" width="14.7265625" style="6" bestFit="1" customWidth="1"/>
    <col min="3" max="3" width="22.81640625" style="6" bestFit="1" customWidth="1"/>
    <col min="4" max="4" width="9.453125" style="6" bestFit="1" customWidth="1"/>
    <col min="5" max="5" width="12.26953125" style="6" bestFit="1" customWidth="1"/>
    <col min="6" max="6" width="9.453125" style="6" bestFit="1" customWidth="1"/>
    <col min="7" max="7" width="12.26953125" style="6" bestFit="1" customWidth="1"/>
    <col min="8" max="8" width="9.453125" style="6" bestFit="1" customWidth="1"/>
    <col min="9" max="9" width="12.26953125" style="6" bestFit="1" customWidth="1"/>
    <col min="10" max="10" width="9.453125" style="6" bestFit="1" customWidth="1"/>
    <col min="11" max="11" width="12.26953125" style="6" bestFit="1" customWidth="1"/>
    <col min="12" max="12" width="9.453125" style="6" bestFit="1" customWidth="1"/>
    <col min="13" max="13" width="12.26953125" style="6" bestFit="1" customWidth="1"/>
    <col min="14" max="14" width="9.453125" style="6" bestFit="1" customWidth="1"/>
    <col min="15" max="15" width="12.26953125" style="6" bestFit="1" customWidth="1"/>
    <col min="16" max="16" width="9.453125" style="6" bestFit="1" customWidth="1"/>
    <col min="17" max="17" width="12.26953125" style="6" bestFit="1" customWidth="1"/>
    <col min="18" max="18" width="9.453125" style="6" bestFit="1" customWidth="1"/>
    <col min="19" max="19" width="12.26953125" style="6" bestFit="1" customWidth="1"/>
    <col min="20" max="20" width="9.453125" style="6" bestFit="1" customWidth="1"/>
    <col min="21" max="21" width="12.26953125" style="6" bestFit="1" customWidth="1"/>
    <col min="22" max="22" width="9.453125" style="6" bestFit="1" customWidth="1"/>
    <col min="23" max="23" width="12.26953125" style="6" bestFit="1" customWidth="1"/>
    <col min="24" max="24" width="9.453125" style="6" bestFit="1" customWidth="1"/>
    <col min="25" max="25" width="12.26953125" style="6" bestFit="1" customWidth="1"/>
    <col min="26" max="26" width="9.453125" style="6" bestFit="1" customWidth="1"/>
    <col min="27" max="27" width="12.26953125" style="6" bestFit="1" customWidth="1"/>
    <col min="28" max="16384" width="9.1796875" style="6"/>
  </cols>
  <sheetData>
    <row r="1" spans="2:27" ht="21" customHeight="1" x14ac:dyDescent="0.35">
      <c r="B1" s="122" t="s">
        <v>133</v>
      </c>
      <c r="C1" s="122"/>
      <c r="D1" s="122"/>
      <c r="E1" s="122"/>
      <c r="F1" s="122"/>
      <c r="G1" s="122"/>
      <c r="H1" s="122"/>
      <c r="I1" s="122"/>
      <c r="J1" s="122"/>
      <c r="K1" s="122"/>
      <c r="L1" s="122"/>
      <c r="M1" s="122"/>
      <c r="N1" s="122"/>
      <c r="O1" s="122"/>
      <c r="P1" s="122"/>
      <c r="Q1" s="122"/>
      <c r="R1" s="122"/>
      <c r="S1" s="122"/>
      <c r="T1" s="122"/>
      <c r="U1" s="122"/>
      <c r="V1" s="122"/>
      <c r="W1" s="122"/>
    </row>
    <row r="2" spans="2:27" x14ac:dyDescent="0.35">
      <c r="B2" s="123" t="s">
        <v>134</v>
      </c>
      <c r="C2" s="125" t="s">
        <v>135</v>
      </c>
      <c r="D2" s="127" t="s">
        <v>136</v>
      </c>
      <c r="E2" s="128"/>
      <c r="F2" s="129" t="s">
        <v>137</v>
      </c>
      <c r="G2" s="128"/>
      <c r="H2" s="129" t="s">
        <v>138</v>
      </c>
      <c r="I2" s="128"/>
      <c r="J2" s="129" t="s">
        <v>139</v>
      </c>
      <c r="K2" s="128"/>
      <c r="L2" s="115" t="s">
        <v>107</v>
      </c>
      <c r="M2" s="116"/>
      <c r="N2" s="115" t="s">
        <v>140</v>
      </c>
      <c r="O2" s="116"/>
      <c r="P2" s="115" t="s">
        <v>141</v>
      </c>
      <c r="Q2" s="116"/>
      <c r="R2" s="115" t="s">
        <v>142</v>
      </c>
      <c r="S2" s="116"/>
      <c r="T2" s="115" t="s">
        <v>143</v>
      </c>
      <c r="U2" s="116"/>
      <c r="V2" s="115" t="s">
        <v>144</v>
      </c>
      <c r="W2" s="116"/>
      <c r="X2" s="115" t="s">
        <v>145</v>
      </c>
      <c r="Y2" s="116"/>
      <c r="Z2" s="115" t="s">
        <v>146</v>
      </c>
      <c r="AA2" s="116"/>
    </row>
    <row r="3" spans="2:27" x14ac:dyDescent="0.35">
      <c r="B3" s="124"/>
      <c r="C3" s="126"/>
      <c r="D3" s="7" t="s">
        <v>147</v>
      </c>
      <c r="E3" s="8" t="s">
        <v>148</v>
      </c>
      <c r="F3" s="9" t="s">
        <v>147</v>
      </c>
      <c r="G3" s="8" t="s">
        <v>148</v>
      </c>
      <c r="H3" s="9" t="s">
        <v>147</v>
      </c>
      <c r="I3" s="8" t="s">
        <v>148</v>
      </c>
      <c r="J3" s="9" t="s">
        <v>147</v>
      </c>
      <c r="K3" s="8" t="s">
        <v>148</v>
      </c>
      <c r="L3" s="9" t="s">
        <v>147</v>
      </c>
      <c r="M3" s="8" t="s">
        <v>148</v>
      </c>
      <c r="N3" s="9" t="s">
        <v>147</v>
      </c>
      <c r="O3" s="8" t="s">
        <v>148</v>
      </c>
      <c r="P3" s="9" t="s">
        <v>147</v>
      </c>
      <c r="Q3" s="8" t="s">
        <v>148</v>
      </c>
      <c r="R3" s="9" t="s">
        <v>147</v>
      </c>
      <c r="S3" s="8" t="s">
        <v>148</v>
      </c>
      <c r="T3" s="9" t="s">
        <v>147</v>
      </c>
      <c r="U3" s="8" t="s">
        <v>148</v>
      </c>
      <c r="V3" s="9" t="s">
        <v>147</v>
      </c>
      <c r="W3" s="8" t="s">
        <v>148</v>
      </c>
      <c r="X3" s="9" t="s">
        <v>147</v>
      </c>
      <c r="Y3" s="8" t="s">
        <v>148</v>
      </c>
      <c r="Z3" s="9" t="s">
        <v>147</v>
      </c>
      <c r="AA3" s="10" t="s">
        <v>148</v>
      </c>
    </row>
    <row r="4" spans="2:27" x14ac:dyDescent="0.35">
      <c r="B4" s="119" t="s">
        <v>149</v>
      </c>
      <c r="C4" s="11" t="s">
        <v>150</v>
      </c>
      <c r="D4" s="12"/>
      <c r="E4" s="12"/>
      <c r="F4" s="12">
        <v>0</v>
      </c>
      <c r="G4" s="12">
        <v>1</v>
      </c>
      <c r="H4" s="12"/>
      <c r="I4" s="12"/>
      <c r="J4" s="12"/>
      <c r="K4" s="12"/>
      <c r="L4" s="12">
        <v>0</v>
      </c>
      <c r="M4" s="12"/>
      <c r="N4" s="12"/>
      <c r="O4" s="12"/>
      <c r="P4" s="12"/>
      <c r="Q4" s="12"/>
      <c r="R4" s="12">
        <v>0</v>
      </c>
      <c r="S4" s="12"/>
      <c r="T4" s="12"/>
      <c r="U4" s="12"/>
      <c r="V4" s="12"/>
      <c r="W4" s="12"/>
      <c r="X4" s="13">
        <v>0</v>
      </c>
      <c r="Y4" s="12"/>
      <c r="Z4" s="13"/>
      <c r="AA4" s="14"/>
    </row>
    <row r="5" spans="2:27" x14ac:dyDescent="0.35">
      <c r="B5" s="120"/>
      <c r="C5" s="15" t="s">
        <v>151</v>
      </c>
      <c r="D5" s="16">
        <v>0</v>
      </c>
      <c r="E5" s="16">
        <v>1</v>
      </c>
      <c r="F5" s="16"/>
      <c r="G5" s="16"/>
      <c r="H5" s="16">
        <v>0</v>
      </c>
      <c r="I5" s="16">
        <v>1</v>
      </c>
      <c r="J5" s="16"/>
      <c r="K5" s="16"/>
      <c r="L5" s="16">
        <v>0</v>
      </c>
      <c r="M5" s="16"/>
      <c r="N5" s="16"/>
      <c r="O5" s="16"/>
      <c r="P5" s="16">
        <v>0</v>
      </c>
      <c r="Q5" s="16"/>
      <c r="R5" s="16"/>
      <c r="S5" s="16"/>
      <c r="T5" s="16">
        <v>0</v>
      </c>
      <c r="U5" s="16"/>
      <c r="V5" s="16"/>
      <c r="W5" s="16"/>
      <c r="X5" s="17">
        <v>0</v>
      </c>
      <c r="Y5" s="16"/>
      <c r="Z5" s="17"/>
      <c r="AA5" s="18"/>
    </row>
    <row r="6" spans="2:27" x14ac:dyDescent="0.35">
      <c r="B6" s="120"/>
      <c r="C6" s="15" t="s">
        <v>152</v>
      </c>
      <c r="D6" s="16"/>
      <c r="E6" s="16"/>
      <c r="F6" s="16">
        <v>0</v>
      </c>
      <c r="G6" s="16">
        <v>1</v>
      </c>
      <c r="H6" s="16"/>
      <c r="I6" s="16"/>
      <c r="J6" s="16">
        <v>0</v>
      </c>
      <c r="K6" s="16">
        <v>1</v>
      </c>
      <c r="L6" s="16"/>
      <c r="M6" s="16"/>
      <c r="N6" s="16">
        <v>0</v>
      </c>
      <c r="O6" s="16"/>
      <c r="P6" s="16"/>
      <c r="Q6" s="16"/>
      <c r="R6" s="16">
        <v>0</v>
      </c>
      <c r="S6" s="16"/>
      <c r="T6" s="16"/>
      <c r="U6" s="16"/>
      <c r="V6" s="16">
        <v>0</v>
      </c>
      <c r="W6" s="16"/>
      <c r="X6" s="17"/>
      <c r="Y6" s="16"/>
      <c r="Z6" s="17">
        <v>0</v>
      </c>
      <c r="AA6" s="18"/>
    </row>
    <row r="7" spans="2:27" x14ac:dyDescent="0.35">
      <c r="B7" s="120"/>
      <c r="C7" s="19" t="s">
        <v>153</v>
      </c>
      <c r="D7" s="16">
        <v>0</v>
      </c>
      <c r="E7" s="16">
        <v>1</v>
      </c>
      <c r="F7" s="16"/>
      <c r="G7" s="16"/>
      <c r="H7" s="16">
        <v>0</v>
      </c>
      <c r="I7" s="16">
        <v>1</v>
      </c>
      <c r="J7" s="16"/>
      <c r="K7" s="16"/>
      <c r="L7" s="16"/>
      <c r="M7" s="16"/>
      <c r="N7" s="16">
        <v>0</v>
      </c>
      <c r="O7" s="16"/>
      <c r="P7" s="16"/>
      <c r="Q7" s="16"/>
      <c r="R7" s="16"/>
      <c r="S7" s="16"/>
      <c r="T7" s="16">
        <v>0</v>
      </c>
      <c r="U7" s="16"/>
      <c r="V7" s="16"/>
      <c r="W7" s="16"/>
      <c r="X7" s="17">
        <v>0</v>
      </c>
      <c r="Y7" s="16"/>
      <c r="Z7" s="17"/>
      <c r="AA7" s="18"/>
    </row>
    <row r="8" spans="2:27" x14ac:dyDescent="0.35">
      <c r="B8" s="120"/>
      <c r="C8" s="20" t="s">
        <v>154</v>
      </c>
      <c r="D8" s="16">
        <v>0</v>
      </c>
      <c r="E8" s="16">
        <v>1</v>
      </c>
      <c r="F8" s="16">
        <v>0</v>
      </c>
      <c r="G8" s="16">
        <v>1</v>
      </c>
      <c r="H8" s="16"/>
      <c r="I8" s="16"/>
      <c r="J8" s="16">
        <v>0</v>
      </c>
      <c r="K8" s="16">
        <v>1</v>
      </c>
      <c r="L8" s="16"/>
      <c r="M8" s="16"/>
      <c r="N8" s="16"/>
      <c r="O8" s="16"/>
      <c r="P8" s="16">
        <v>0</v>
      </c>
      <c r="Q8" s="16"/>
      <c r="R8" s="16"/>
      <c r="S8" s="16"/>
      <c r="T8" s="16"/>
      <c r="U8" s="16"/>
      <c r="V8" s="16">
        <v>0</v>
      </c>
      <c r="W8" s="16"/>
      <c r="X8" s="17"/>
      <c r="Y8" s="16"/>
      <c r="Z8" s="17">
        <v>0</v>
      </c>
      <c r="AA8" s="18"/>
    </row>
    <row r="9" spans="2:27" x14ac:dyDescent="0.35">
      <c r="B9" s="120"/>
      <c r="C9" s="15" t="s">
        <v>155</v>
      </c>
      <c r="D9" s="16"/>
      <c r="E9" s="16"/>
      <c r="F9" s="16"/>
      <c r="G9" s="16"/>
      <c r="H9" s="16"/>
      <c r="I9" s="16"/>
      <c r="J9" s="16"/>
      <c r="K9" s="16"/>
      <c r="L9" s="16"/>
      <c r="M9" s="16"/>
      <c r="N9" s="16"/>
      <c r="O9" s="16"/>
      <c r="P9" s="16">
        <v>0</v>
      </c>
      <c r="Q9" s="16"/>
      <c r="R9" s="16"/>
      <c r="S9" s="16"/>
      <c r="T9" s="16">
        <v>0</v>
      </c>
      <c r="U9" s="16"/>
      <c r="V9" s="16"/>
      <c r="W9" s="16"/>
      <c r="X9" s="17">
        <v>0</v>
      </c>
      <c r="Y9" s="16"/>
      <c r="Z9" s="17"/>
      <c r="AA9" s="18"/>
    </row>
    <row r="10" spans="2:27" x14ac:dyDescent="0.35">
      <c r="B10" s="120"/>
      <c r="C10" s="15" t="s">
        <v>156</v>
      </c>
      <c r="D10" s="16"/>
      <c r="E10" s="16"/>
      <c r="F10" s="16"/>
      <c r="G10" s="16"/>
      <c r="H10" s="16"/>
      <c r="I10" s="16"/>
      <c r="J10" s="16"/>
      <c r="K10" s="16"/>
      <c r="L10" s="16">
        <v>0</v>
      </c>
      <c r="M10" s="16"/>
      <c r="N10" s="16"/>
      <c r="O10" s="16"/>
      <c r="P10" s="16"/>
      <c r="Q10" s="16"/>
      <c r="R10" s="16">
        <v>0</v>
      </c>
      <c r="S10" s="16"/>
      <c r="T10" s="16"/>
      <c r="U10" s="16"/>
      <c r="V10" s="16">
        <v>0</v>
      </c>
      <c r="W10" s="16"/>
      <c r="X10" s="17"/>
      <c r="Y10" s="16"/>
      <c r="Z10" s="17">
        <v>0</v>
      </c>
      <c r="AA10" s="18"/>
    </row>
    <row r="11" spans="2:27" x14ac:dyDescent="0.35">
      <c r="B11" s="120"/>
      <c r="C11" s="19" t="s">
        <v>157</v>
      </c>
      <c r="D11" s="16"/>
      <c r="E11" s="16"/>
      <c r="F11" s="16"/>
      <c r="G11" s="16"/>
      <c r="H11" s="16"/>
      <c r="I11" s="16"/>
      <c r="J11" s="16"/>
      <c r="K11" s="16"/>
      <c r="L11" s="16"/>
      <c r="M11" s="16"/>
      <c r="N11" s="16">
        <v>0</v>
      </c>
      <c r="O11" s="16"/>
      <c r="P11" s="16">
        <v>0</v>
      </c>
      <c r="Q11" s="16"/>
      <c r="R11" s="16"/>
      <c r="S11" s="16"/>
      <c r="T11" s="16">
        <v>0</v>
      </c>
      <c r="U11" s="16"/>
      <c r="V11" s="16"/>
      <c r="W11" s="16"/>
      <c r="X11" s="17">
        <v>0</v>
      </c>
      <c r="Y11" s="16"/>
      <c r="Z11" s="17"/>
      <c r="AA11" s="18"/>
    </row>
    <row r="12" spans="2:27" x14ac:dyDescent="0.35">
      <c r="B12" s="120"/>
      <c r="C12" s="21" t="s">
        <v>158</v>
      </c>
      <c r="D12" s="16"/>
      <c r="E12" s="16"/>
      <c r="F12" s="16"/>
      <c r="G12" s="16"/>
      <c r="H12" s="16"/>
      <c r="I12" s="16"/>
      <c r="J12" s="16"/>
      <c r="K12" s="16"/>
      <c r="L12" s="16"/>
      <c r="M12" s="16"/>
      <c r="N12" s="16">
        <v>0</v>
      </c>
      <c r="O12" s="16"/>
      <c r="P12" s="16"/>
      <c r="Q12" s="16"/>
      <c r="R12" s="16">
        <v>0</v>
      </c>
      <c r="S12" s="16"/>
      <c r="T12" s="16"/>
      <c r="U12" s="16"/>
      <c r="V12" s="16">
        <v>0</v>
      </c>
      <c r="W12" s="16"/>
      <c r="X12" s="17"/>
      <c r="Y12" s="16"/>
      <c r="Z12" s="17">
        <v>0</v>
      </c>
      <c r="AA12" s="18"/>
    </row>
    <row r="13" spans="2:27" x14ac:dyDescent="0.35">
      <c r="B13" s="120"/>
      <c r="C13" s="22" t="s">
        <v>159</v>
      </c>
      <c r="D13" s="16"/>
      <c r="E13" s="16"/>
      <c r="F13" s="16">
        <v>0</v>
      </c>
      <c r="G13" s="16">
        <v>1</v>
      </c>
      <c r="H13" s="16"/>
      <c r="I13" s="16"/>
      <c r="J13" s="16">
        <v>0</v>
      </c>
      <c r="K13" s="16">
        <v>1</v>
      </c>
      <c r="L13" s="16"/>
      <c r="M13" s="16"/>
      <c r="N13" s="16">
        <v>0</v>
      </c>
      <c r="O13" s="16"/>
      <c r="P13" s="16"/>
      <c r="Q13" s="16"/>
      <c r="R13" s="16">
        <v>0</v>
      </c>
      <c r="S13" s="16"/>
      <c r="T13" s="16"/>
      <c r="U13" s="16"/>
      <c r="V13" s="16">
        <v>0</v>
      </c>
      <c r="W13" s="16"/>
      <c r="X13" s="17"/>
      <c r="Y13" s="16"/>
      <c r="Z13" s="17">
        <v>0</v>
      </c>
      <c r="AA13" s="18"/>
    </row>
    <row r="14" spans="2:27" x14ac:dyDescent="0.35">
      <c r="B14" s="120"/>
      <c r="C14" s="22" t="s">
        <v>160</v>
      </c>
      <c r="D14" s="16"/>
      <c r="E14" s="16"/>
      <c r="F14" s="16"/>
      <c r="G14" s="16"/>
      <c r="H14" s="16"/>
      <c r="I14" s="16"/>
      <c r="J14" s="16"/>
      <c r="K14" s="16"/>
      <c r="L14" s="16"/>
      <c r="M14" s="16"/>
      <c r="N14" s="16"/>
      <c r="O14" s="16"/>
      <c r="P14" s="16">
        <v>0</v>
      </c>
      <c r="Q14" s="16"/>
      <c r="R14" s="16"/>
      <c r="S14" s="16"/>
      <c r="T14" s="16">
        <v>0</v>
      </c>
      <c r="U14" s="16"/>
      <c r="V14" s="16"/>
      <c r="W14" s="16"/>
      <c r="X14" s="17">
        <v>0</v>
      </c>
      <c r="Y14" s="16"/>
      <c r="Z14" s="17"/>
      <c r="AA14" s="18"/>
    </row>
    <row r="15" spans="2:27" x14ac:dyDescent="0.35">
      <c r="B15" s="120"/>
      <c r="C15" s="23" t="s">
        <v>161</v>
      </c>
      <c r="D15" s="16"/>
      <c r="E15" s="16"/>
      <c r="F15" s="16"/>
      <c r="G15" s="16"/>
      <c r="H15" s="16"/>
      <c r="I15" s="16"/>
      <c r="J15" s="16"/>
      <c r="K15" s="16"/>
      <c r="L15" s="16"/>
      <c r="M15" s="16"/>
      <c r="N15" s="24">
        <v>0</v>
      </c>
      <c r="O15" s="16"/>
      <c r="P15" s="24"/>
      <c r="Q15" s="16"/>
      <c r="R15" s="24">
        <v>0</v>
      </c>
      <c r="S15" s="16"/>
      <c r="T15" s="24"/>
      <c r="U15" s="16"/>
      <c r="V15" s="24">
        <v>0</v>
      </c>
      <c r="W15" s="16"/>
      <c r="X15" s="25"/>
      <c r="Y15" s="16"/>
      <c r="Z15" s="25">
        <v>0</v>
      </c>
      <c r="AA15" s="18"/>
    </row>
    <row r="16" spans="2:27" x14ac:dyDescent="0.35">
      <c r="B16" s="121"/>
      <c r="C16" s="26" t="s">
        <v>162</v>
      </c>
      <c r="D16" s="27"/>
      <c r="E16" s="27"/>
      <c r="F16" s="27"/>
      <c r="G16" s="27"/>
      <c r="H16" s="27"/>
      <c r="I16" s="27"/>
      <c r="J16" s="27"/>
      <c r="K16" s="27"/>
      <c r="L16" s="27"/>
      <c r="M16" s="27"/>
      <c r="N16" s="28"/>
      <c r="O16" s="27"/>
      <c r="P16" s="28">
        <v>0</v>
      </c>
      <c r="Q16" s="27"/>
      <c r="R16" s="28"/>
      <c r="S16" s="27"/>
      <c r="T16" s="28">
        <v>0</v>
      </c>
      <c r="U16" s="27"/>
      <c r="V16" s="28"/>
      <c r="W16" s="27"/>
      <c r="X16" s="28">
        <v>0</v>
      </c>
      <c r="Y16" s="27"/>
      <c r="Z16" s="28"/>
      <c r="AA16" s="29"/>
    </row>
    <row r="17" spans="2:28" ht="8.5" customHeight="1" x14ac:dyDescent="0.35">
      <c r="B17" s="30"/>
    </row>
    <row r="18" spans="2:28" x14ac:dyDescent="0.35">
      <c r="B18" s="31"/>
      <c r="C18" s="32" t="s">
        <v>163</v>
      </c>
      <c r="D18" s="117" cm="1">
        <f t="array" ref="D18">SUMPRODUCT((LEN(D4:D16)-LEN(SUBSTITUTE(D4:D16, ",", ""))+1)*(D4:D16&lt;&gt;""))</f>
        <v>3</v>
      </c>
      <c r="E18" s="118"/>
      <c r="F18" s="117" cm="1">
        <f t="array" ref="F18">SUMPRODUCT((LEN(F4:F16)-LEN(SUBSTITUTE(F4:F16, ",", ""))+1)*(F4:F16&lt;&gt;""))</f>
        <v>4</v>
      </c>
      <c r="G18" s="118"/>
      <c r="H18" s="117" cm="1">
        <f t="array" ref="H18">SUMPRODUCT((LEN(H4:H16)-LEN(SUBSTITUTE(H4:H16, ",", ""))+1)*(H4:H16&lt;&gt;""))</f>
        <v>2</v>
      </c>
      <c r="I18" s="118"/>
      <c r="J18" s="117" cm="1">
        <f t="array" ref="J18">SUMPRODUCT((LEN(J4:J16)-LEN(SUBSTITUTE(J4:J16, ",", ""))+1)*(J4:J16&lt;&gt;""))</f>
        <v>3</v>
      </c>
      <c r="K18" s="118"/>
      <c r="L18" s="117" cm="1">
        <f t="array" ref="L18">SUMPRODUCT((LEN(L4:L16)-LEN(SUBSTITUTE(L4:L16, ",", ""))+1)*(L4:L16&lt;&gt;""))</f>
        <v>3</v>
      </c>
      <c r="M18" s="118"/>
      <c r="N18" s="117" cm="1">
        <f t="array" ref="N18">SUMPRODUCT((LEN(N4:N16)-LEN(SUBSTITUTE(N4:N16, ",", ""))+1)*(N4:N16&lt;&gt;""))</f>
        <v>6</v>
      </c>
      <c r="O18" s="118"/>
      <c r="P18" s="117" cm="1">
        <f t="array" ref="P18">SUMPRODUCT((LEN(P4:P16)-LEN(SUBSTITUTE(P4:P16, ",", ""))+1)*(P4:P16&lt;&gt;""))</f>
        <v>6</v>
      </c>
      <c r="Q18" s="118"/>
      <c r="R18" s="117" cm="1">
        <f t="array" ref="R18">SUMPRODUCT((LEN(R4:R16)-LEN(SUBSTITUTE(R4:R16, ",", ""))+1)*(R4:R16&lt;&gt;""))</f>
        <v>6</v>
      </c>
      <c r="S18" s="118"/>
      <c r="T18" s="117" cm="1">
        <f t="array" ref="T18">SUMPRODUCT((LEN(T4:T16)-LEN(SUBSTITUTE(T4:T16, ",", ""))+1)*(T4:T16&lt;&gt;""))</f>
        <v>6</v>
      </c>
      <c r="U18" s="118"/>
      <c r="V18" s="117" cm="1">
        <f t="array" ref="V18">SUMPRODUCT((LEN(V4:V16)-LEN(SUBSTITUTE(V4:V16, ",", ""))+1)*(V4:V16&lt;&gt;""))</f>
        <v>6</v>
      </c>
      <c r="W18" s="118"/>
      <c r="X18" s="117" cm="1">
        <f t="array" ref="X18">SUMPRODUCT((LEN(X4:X16)-LEN(SUBSTITUTE(X4:X16, ",", ""))+1)*(X4:X16&lt;&gt;""))</f>
        <v>7</v>
      </c>
      <c r="Y18" s="118"/>
      <c r="Z18" s="117" cm="1">
        <f t="array" ref="Z18">SUMPRODUCT((LEN(Z4:Z16)-LEN(SUBSTITUTE(Z4:Z16, ",", ""))+1)*(Z4:Z16&lt;&gt;""))</f>
        <v>6</v>
      </c>
      <c r="AA18" s="118"/>
      <c r="AB18" s="33">
        <f>SUM(D18:Z18)</f>
        <v>58</v>
      </c>
    </row>
    <row r="19" spans="2:28" x14ac:dyDescent="0.35">
      <c r="B19" s="31"/>
      <c r="C19" s="34" t="s">
        <v>164</v>
      </c>
      <c r="D19" s="113" cm="1">
        <f t="array" ref="D19">SUMPRODUCT((LEN(E4:E16)-LEN(SUBSTITUTE(E4:E16, ",", ""))+1)*(E4:E16&lt;&gt;""))</f>
        <v>3</v>
      </c>
      <c r="E19" s="114"/>
      <c r="F19" s="113" cm="1">
        <f t="array" ref="F19">SUMPRODUCT((LEN(G4:G16)-LEN(SUBSTITUTE(G4:G16, ",", ""))+1)*(G4:G16&lt;&gt;""))</f>
        <v>4</v>
      </c>
      <c r="G19" s="114"/>
      <c r="H19" s="113" cm="1">
        <f t="array" ref="H19">SUMPRODUCT((LEN(I4:I16)-LEN(SUBSTITUTE(I4:I16, ",", ""))+1)*(I4:I16&lt;&gt;""))</f>
        <v>2</v>
      </c>
      <c r="I19" s="114"/>
      <c r="J19" s="113" cm="1">
        <f t="array" ref="J19">SUMPRODUCT((LEN(K4:K16)-LEN(SUBSTITUTE(K4:K16, ",", ""))+1)*(K4:K16&lt;&gt;""))</f>
        <v>3</v>
      </c>
      <c r="K19" s="114"/>
      <c r="L19" s="113" cm="1">
        <f t="array" ref="L19">SUMPRODUCT((LEN(M4:M16)-LEN(SUBSTITUTE(M4:M16, ",", ""))+1)*(M4:M16&lt;&gt;""))</f>
        <v>0</v>
      </c>
      <c r="M19" s="114"/>
      <c r="N19" s="113" cm="1">
        <f t="array" ref="N19">SUMPRODUCT((LEN(O4:O16)-LEN(SUBSTITUTE(O4:O16, ",", ""))+1)*(O4:O16&lt;&gt;""))</f>
        <v>0</v>
      </c>
      <c r="O19" s="114"/>
      <c r="P19" s="113" cm="1">
        <f t="array" ref="P19">SUMPRODUCT((LEN(Q4:Q16)-LEN(SUBSTITUTE(Q4:Q16, ",", ""))+1)*(Q4:Q16&lt;&gt;""))</f>
        <v>0</v>
      </c>
      <c r="Q19" s="114"/>
      <c r="R19" s="113" cm="1">
        <f t="array" ref="R19">SUMPRODUCT((LEN(S4:S16)-LEN(SUBSTITUTE(S4:S16, ",", ""))+1)*(S4:S16&lt;&gt;""))</f>
        <v>0</v>
      </c>
      <c r="S19" s="114"/>
      <c r="T19" s="113" cm="1">
        <f t="array" ref="T19">SUMPRODUCT((LEN(U4:U16)-LEN(SUBSTITUTE(U4:U16, ",", ""))+1)*(U4:U16&lt;&gt;""))</f>
        <v>0</v>
      </c>
      <c r="U19" s="114"/>
      <c r="V19" s="113" cm="1">
        <f t="array" ref="V19">SUMPRODUCT((LEN(W4:W16)-LEN(SUBSTITUTE(W4:W16, ",", ""))+1)*(W4:W16&lt;&gt;""))</f>
        <v>0</v>
      </c>
      <c r="W19" s="114"/>
      <c r="X19" s="113" cm="1">
        <f t="array" ref="X19">SUMPRODUCT((LEN(Y4:Y16)-LEN(SUBSTITUTE(Y4:Y16, ",", ""))+1)*(Y4:Y16&lt;&gt;""))</f>
        <v>0</v>
      </c>
      <c r="Y19" s="114"/>
      <c r="Z19" s="113" cm="1">
        <f t="array" ref="Z19">SUMPRODUCT((LEN(AA4:AA16)-LEN(SUBSTITUTE(AA4:AA16, ",", ""))+1)*(AA4:AA16&lt;&gt;""))</f>
        <v>0</v>
      </c>
      <c r="AA19" s="114"/>
      <c r="AB19" s="33">
        <f>SUM(D19:Z19)</f>
        <v>12</v>
      </c>
    </row>
    <row r="20" spans="2:28" x14ac:dyDescent="0.35">
      <c r="B20" s="31"/>
      <c r="C20" s="35" t="s">
        <v>165</v>
      </c>
      <c r="D20" s="111">
        <f>IF(D18=0,0,IF(OR(ISBLANK(D18),ISBLANK(D19)),0,(D18-D19)/D18*100))/100</f>
        <v>0</v>
      </c>
      <c r="E20" s="112"/>
      <c r="F20" s="111">
        <f>IF(F18=0,0,IF(OR(ISBLANK(F18),ISBLANK(F19)),0,(F18-F19)/F18*100))/100</f>
        <v>0</v>
      </c>
      <c r="G20" s="112"/>
      <c r="H20" s="111">
        <f>IF(H18=0,0,IF(OR(ISBLANK(H18),ISBLANK(H19)),0,(H18-H19)/H18*100))/100</f>
        <v>0</v>
      </c>
      <c r="I20" s="112"/>
      <c r="J20" s="111">
        <f>IF(J18=0,0,IF(OR(ISBLANK(J18),ISBLANK(J19)),0,(J18-J19)/J18*100))/100</f>
        <v>0</v>
      </c>
      <c r="K20" s="112"/>
      <c r="L20" s="111">
        <f>IF(L18=0,0,IF(OR(ISBLANK(L18),ISBLANK(L19)),0,(L18-L19)/L18*100))/100</f>
        <v>1</v>
      </c>
      <c r="M20" s="112"/>
      <c r="N20" s="111">
        <f>IF(N18=0,0,IF(OR(ISBLANK(N18),ISBLANK(N19)),0,(N18-N19)/N18*100))/100</f>
        <v>1</v>
      </c>
      <c r="O20" s="112"/>
      <c r="P20" s="111">
        <f>IF(P18=0,0,IF(OR(ISBLANK(P18),ISBLANK(P19)),0,(P18-P19)/P18*100))/100</f>
        <v>1</v>
      </c>
      <c r="Q20" s="112"/>
      <c r="R20" s="111">
        <f>IF(R18=0,0,IF(OR(ISBLANK(R18),ISBLANK(R19)),0,(R18-R19)/R18*100))/100</f>
        <v>1</v>
      </c>
      <c r="S20" s="112"/>
      <c r="T20" s="111">
        <f>IF(T18=0,0,IF(OR(ISBLANK(T18),ISBLANK(T19)),0,(T18-T19)/T18*100))/100</f>
        <v>1</v>
      </c>
      <c r="U20" s="112"/>
      <c r="V20" s="111">
        <f>IF(V18=0,0,IF(OR(ISBLANK(V18),ISBLANK(V19)),0,(V18-V19)/V18*100))/100</f>
        <v>1</v>
      </c>
      <c r="W20" s="112"/>
      <c r="X20" s="111">
        <f>IF(X18=0,0,IF(OR(ISBLANK(X18),ISBLANK(X19)),0,(X18-X19)/X18*100))/100</f>
        <v>1</v>
      </c>
      <c r="Y20" s="112"/>
      <c r="Z20" s="111">
        <f>IF(Z18=0,0,IF(OR(ISBLANK(Z18),ISBLANK(Z19)),0,(Z18-Z19)/Z18*100))/100</f>
        <v>1</v>
      </c>
      <c r="AA20" s="112"/>
    </row>
    <row r="21" spans="2:28" x14ac:dyDescent="0.35">
      <c r="B21" s="31"/>
      <c r="C21" s="35" t="s">
        <v>165</v>
      </c>
      <c r="D21" s="109">
        <f>D18-D19</f>
        <v>0</v>
      </c>
      <c r="E21" s="110"/>
      <c r="F21" s="109">
        <f>F18-F19</f>
        <v>0</v>
      </c>
      <c r="G21" s="110"/>
      <c r="H21" s="109">
        <f>H18-H19</f>
        <v>0</v>
      </c>
      <c r="I21" s="110"/>
      <c r="J21" s="109">
        <f>J18-J19</f>
        <v>0</v>
      </c>
      <c r="K21" s="110"/>
      <c r="L21" s="109">
        <f>L18-L19</f>
        <v>3</v>
      </c>
      <c r="M21" s="110"/>
      <c r="N21" s="109">
        <f>N18-N19</f>
        <v>6</v>
      </c>
      <c r="O21" s="110"/>
      <c r="P21" s="109">
        <f>P18-P19</f>
        <v>6</v>
      </c>
      <c r="Q21" s="110"/>
      <c r="R21" s="109">
        <f>R18-R19</f>
        <v>6</v>
      </c>
      <c r="S21" s="110"/>
      <c r="T21" s="109">
        <f>T18-T19</f>
        <v>6</v>
      </c>
      <c r="U21" s="110"/>
      <c r="V21" s="109">
        <f>V18-V19</f>
        <v>6</v>
      </c>
      <c r="W21" s="110"/>
      <c r="X21" s="109">
        <f>X18-X19</f>
        <v>7</v>
      </c>
      <c r="Y21" s="110"/>
      <c r="Z21" s="109">
        <f>Z18-Z19</f>
        <v>6</v>
      </c>
      <c r="AA21" s="110"/>
    </row>
    <row r="22" spans="2:28" ht="8.5" customHeight="1" x14ac:dyDescent="0.35">
      <c r="B22" s="31"/>
      <c r="C22" s="36"/>
    </row>
    <row r="23" spans="2:28" x14ac:dyDescent="0.35">
      <c r="B23" s="108" t="s">
        <v>166</v>
      </c>
      <c r="C23" s="108"/>
      <c r="E23" s="108" t="s">
        <v>167</v>
      </c>
      <c r="F23" s="108"/>
      <c r="G23" s="108"/>
      <c r="H23" s="108"/>
    </row>
    <row r="24" spans="2:28" x14ac:dyDescent="0.35">
      <c r="B24" s="37" t="s">
        <v>150</v>
      </c>
      <c r="C24" s="38" t="s">
        <v>168</v>
      </c>
      <c r="E24" s="105" t="s">
        <v>220</v>
      </c>
      <c r="F24" s="106"/>
      <c r="G24" s="106"/>
      <c r="H24" s="106"/>
      <c r="I24" s="106"/>
      <c r="J24" s="107"/>
    </row>
    <row r="25" spans="2:28" x14ac:dyDescent="0.35">
      <c r="B25" s="37" t="s">
        <v>151</v>
      </c>
      <c r="C25" s="38" t="s">
        <v>169</v>
      </c>
      <c r="E25" s="105" t="s">
        <v>221</v>
      </c>
      <c r="F25" s="106"/>
      <c r="G25" s="106"/>
      <c r="H25" s="106"/>
      <c r="I25" s="106"/>
      <c r="J25" s="107"/>
    </row>
    <row r="26" spans="2:28" x14ac:dyDescent="0.35">
      <c r="B26" s="37" t="s">
        <v>152</v>
      </c>
      <c r="C26" s="38" t="s">
        <v>170</v>
      </c>
      <c r="E26" s="105" t="s">
        <v>221</v>
      </c>
      <c r="F26" s="106"/>
      <c r="G26" s="106"/>
      <c r="H26" s="106"/>
      <c r="I26" s="106"/>
      <c r="J26" s="107"/>
    </row>
    <row r="27" spans="2:28" x14ac:dyDescent="0.35">
      <c r="B27" s="37" t="s">
        <v>153</v>
      </c>
      <c r="C27" s="38" t="s">
        <v>171</v>
      </c>
      <c r="E27" s="105" t="s">
        <v>222</v>
      </c>
      <c r="F27" s="106"/>
      <c r="G27" s="106"/>
      <c r="H27" s="106"/>
      <c r="I27" s="106"/>
      <c r="J27" s="107"/>
    </row>
    <row r="28" spans="2:28" x14ac:dyDescent="0.35">
      <c r="B28" s="37" t="s">
        <v>154</v>
      </c>
      <c r="C28" s="38" t="s">
        <v>172</v>
      </c>
      <c r="E28" s="105" t="s">
        <v>222</v>
      </c>
      <c r="F28" s="106"/>
      <c r="G28" s="106"/>
      <c r="H28" s="106"/>
      <c r="I28" s="106"/>
      <c r="J28" s="107"/>
    </row>
    <row r="29" spans="2:28" x14ac:dyDescent="0.35">
      <c r="B29" s="37" t="s">
        <v>160</v>
      </c>
      <c r="C29" s="38" t="s">
        <v>173</v>
      </c>
      <c r="E29" s="105" t="s">
        <v>222</v>
      </c>
      <c r="F29" s="106"/>
      <c r="G29" s="106"/>
      <c r="H29" s="106"/>
      <c r="I29" s="106"/>
      <c r="J29" s="107"/>
    </row>
    <row r="30" spans="2:28" x14ac:dyDescent="0.35">
      <c r="B30" s="37" t="s">
        <v>156</v>
      </c>
      <c r="C30" s="38" t="s">
        <v>174</v>
      </c>
      <c r="E30" s="105" t="s">
        <v>222</v>
      </c>
      <c r="F30" s="106"/>
      <c r="G30" s="106"/>
      <c r="H30" s="106"/>
      <c r="I30" s="106"/>
      <c r="J30" s="107"/>
    </row>
    <row r="31" spans="2:28" x14ac:dyDescent="0.35">
      <c r="B31" s="37" t="s">
        <v>157</v>
      </c>
      <c r="C31" s="38" t="s">
        <v>175</v>
      </c>
      <c r="E31" s="105" t="s">
        <v>222</v>
      </c>
      <c r="F31" s="106"/>
      <c r="G31" s="106"/>
      <c r="H31" s="106"/>
      <c r="I31" s="106"/>
      <c r="J31" s="107"/>
    </row>
    <row r="32" spans="2:28" x14ac:dyDescent="0.35">
      <c r="B32" s="37" t="s">
        <v>158</v>
      </c>
      <c r="C32" s="38" t="s">
        <v>176</v>
      </c>
      <c r="E32" s="105" t="s">
        <v>222</v>
      </c>
      <c r="F32" s="106"/>
      <c r="G32" s="106"/>
      <c r="H32" s="106"/>
      <c r="I32" s="106"/>
      <c r="J32" s="107"/>
    </row>
    <row r="33" spans="2:10" x14ac:dyDescent="0.35">
      <c r="B33" s="37" t="s">
        <v>161</v>
      </c>
      <c r="C33" s="38" t="s">
        <v>177</v>
      </c>
      <c r="E33" s="105" t="s">
        <v>222</v>
      </c>
      <c r="F33" s="106"/>
      <c r="G33" s="106"/>
      <c r="H33" s="106"/>
      <c r="I33" s="106"/>
      <c r="J33" s="107"/>
    </row>
    <row r="34" spans="2:10" x14ac:dyDescent="0.35">
      <c r="B34" s="37" t="s">
        <v>162</v>
      </c>
      <c r="C34" s="38" t="s">
        <v>178</v>
      </c>
      <c r="E34" s="105" t="s">
        <v>222</v>
      </c>
      <c r="F34" s="106"/>
      <c r="G34" s="106"/>
      <c r="H34" s="106"/>
      <c r="I34" s="106"/>
      <c r="J34" s="107"/>
    </row>
    <row r="35" spans="2:10" x14ac:dyDescent="0.35">
      <c r="B35" s="37" t="s">
        <v>159</v>
      </c>
      <c r="C35" s="38" t="s">
        <v>179</v>
      </c>
      <c r="E35" s="105" t="s">
        <v>222</v>
      </c>
      <c r="F35" s="106"/>
      <c r="G35" s="106"/>
      <c r="H35" s="106"/>
      <c r="I35" s="106"/>
      <c r="J35" s="107"/>
    </row>
    <row r="36" spans="2:10" x14ac:dyDescent="0.35">
      <c r="B36" s="37" t="s">
        <v>155</v>
      </c>
      <c r="C36" s="38" t="s">
        <v>180</v>
      </c>
      <c r="E36" s="105" t="s">
        <v>222</v>
      </c>
      <c r="F36" s="106"/>
      <c r="G36" s="106"/>
      <c r="H36" s="106"/>
      <c r="I36" s="106"/>
      <c r="J36" s="107"/>
    </row>
  </sheetData>
  <mergeCells count="79">
    <mergeCell ref="B4:B16"/>
    <mergeCell ref="B1:W1"/>
    <mergeCell ref="B2:B3"/>
    <mergeCell ref="C2:C3"/>
    <mergeCell ref="D2:E2"/>
    <mergeCell ref="F2:G2"/>
    <mergeCell ref="H2:I2"/>
    <mergeCell ref="J2:K2"/>
    <mergeCell ref="L2:M2"/>
    <mergeCell ref="N2:O2"/>
    <mergeCell ref="P2:Q2"/>
    <mergeCell ref="R2:S2"/>
    <mergeCell ref="T2:U2"/>
    <mergeCell ref="V2:W2"/>
    <mergeCell ref="X2:Y2"/>
    <mergeCell ref="Z2:AA2"/>
    <mergeCell ref="Z18:AA18"/>
    <mergeCell ref="D18:E18"/>
    <mergeCell ref="F18:G18"/>
    <mergeCell ref="H18:I18"/>
    <mergeCell ref="J18:K18"/>
    <mergeCell ref="L18:M18"/>
    <mergeCell ref="N18:O18"/>
    <mergeCell ref="P18:Q18"/>
    <mergeCell ref="R18:S18"/>
    <mergeCell ref="T18:U18"/>
    <mergeCell ref="V18:W18"/>
    <mergeCell ref="X18:Y18"/>
    <mergeCell ref="Z19:AA19"/>
    <mergeCell ref="D19:E19"/>
    <mergeCell ref="F19:G19"/>
    <mergeCell ref="H19:I19"/>
    <mergeCell ref="J19:K19"/>
    <mergeCell ref="L19:M19"/>
    <mergeCell ref="N19:O19"/>
    <mergeCell ref="P19:Q19"/>
    <mergeCell ref="R19:S19"/>
    <mergeCell ref="T19:U19"/>
    <mergeCell ref="V19:W19"/>
    <mergeCell ref="X19:Y19"/>
    <mergeCell ref="Z20:AA20"/>
    <mergeCell ref="D20:E20"/>
    <mergeCell ref="F20:G20"/>
    <mergeCell ref="H20:I20"/>
    <mergeCell ref="J20:K20"/>
    <mergeCell ref="L20:M20"/>
    <mergeCell ref="N20:O20"/>
    <mergeCell ref="P20:Q20"/>
    <mergeCell ref="R20:S20"/>
    <mergeCell ref="T20:U20"/>
    <mergeCell ref="V20:W20"/>
    <mergeCell ref="X20:Y20"/>
    <mergeCell ref="X21:Y21"/>
    <mergeCell ref="Z21:AA21"/>
    <mergeCell ref="D21:E21"/>
    <mergeCell ref="F21:G21"/>
    <mergeCell ref="H21:I21"/>
    <mergeCell ref="J21:K21"/>
    <mergeCell ref="L21:M21"/>
    <mergeCell ref="N21:O21"/>
    <mergeCell ref="E27:J27"/>
    <mergeCell ref="P21:Q21"/>
    <mergeCell ref="R21:S21"/>
    <mergeCell ref="T21:U21"/>
    <mergeCell ref="V21:W21"/>
    <mergeCell ref="B23:C23"/>
    <mergeCell ref="E23:H23"/>
    <mergeCell ref="E24:J24"/>
    <mergeCell ref="E25:J25"/>
    <mergeCell ref="E26:J26"/>
    <mergeCell ref="E34:J34"/>
    <mergeCell ref="E35:J35"/>
    <mergeCell ref="E36:J36"/>
    <mergeCell ref="E28:J28"/>
    <mergeCell ref="E29:J29"/>
    <mergeCell ref="E30:J30"/>
    <mergeCell ref="E31:J31"/>
    <mergeCell ref="E32:J32"/>
    <mergeCell ref="E33:J3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33A7AFB1-9569-4C1D-AD70-793E73A4EE38}">
            <x14:iconSet showValue="0" custom="1">
              <x14:cfvo type="percent">
                <xm:f>0</xm:f>
              </x14:cfvo>
              <x14:cfvo type="num">
                <xm:f>1</xm:f>
              </x14:cfvo>
              <x14:cfvo type="num" gte="0">
                <xm:f>2</xm:f>
              </x14:cfvo>
              <x14:cfIcon iconSet="3TrafficLights1" iconId="1"/>
              <x14:cfIcon iconSet="3TrafficLights1" iconId="2"/>
              <x14:cfIcon iconSet="3TrafficLights1" iconId="0"/>
            </x14:iconSet>
          </x14:cfRule>
          <xm:sqref>D4:AA16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64C72-951C-46FF-B2C7-7CF5B4B740A0}">
  <sheetPr>
    <tabColor rgb="FFED7D31"/>
  </sheetPr>
  <dimension ref="A1:N250"/>
  <sheetViews>
    <sheetView zoomScaleNormal="100" workbookViewId="0">
      <pane ySplit="1" topLeftCell="A16" activePane="bottomLeft" state="frozen"/>
      <selection pane="bottomLeft" activeCell="C32" sqref="C32"/>
    </sheetView>
  </sheetViews>
  <sheetFormatPr defaultColWidth="8.6328125" defaultRowHeight="14.5" x14ac:dyDescent="0.35"/>
  <cols>
    <col min="1" max="1" width="6" customWidth="1"/>
    <col min="2" max="2" width="15" customWidth="1"/>
    <col min="3" max="3" width="24" customWidth="1"/>
    <col min="4" max="4" width="20" customWidth="1"/>
    <col min="5" max="5" width="15" customWidth="1"/>
    <col min="6" max="6" width="30" customWidth="1"/>
    <col min="7" max="7" width="11" customWidth="1"/>
    <col min="8" max="8" width="13" customWidth="1"/>
    <col min="9" max="9" width="11" customWidth="1"/>
    <col min="10" max="10" width="17" customWidth="1"/>
    <col min="11" max="11" width="10" customWidth="1"/>
    <col min="12" max="12" width="7" customWidth="1"/>
    <col min="13" max="13" width="18" customWidth="1"/>
    <col min="14" max="14" width="30" customWidth="1"/>
  </cols>
  <sheetData>
    <row r="1" spans="1:14" ht="30" customHeight="1" x14ac:dyDescent="0.35">
      <c r="A1" s="97" t="s">
        <v>225</v>
      </c>
      <c r="B1" s="97" t="s">
        <v>226</v>
      </c>
      <c r="C1" s="97" t="s">
        <v>227</v>
      </c>
      <c r="D1" s="97" t="s">
        <v>228</v>
      </c>
      <c r="E1" s="97" t="s">
        <v>229</v>
      </c>
      <c r="F1" s="97" t="s">
        <v>230</v>
      </c>
      <c r="G1" s="97" t="s">
        <v>190</v>
      </c>
      <c r="H1" s="97" t="s">
        <v>231</v>
      </c>
      <c r="I1" s="97" t="s">
        <v>1</v>
      </c>
      <c r="J1" s="97" t="s">
        <v>232</v>
      </c>
      <c r="K1" s="97" t="s">
        <v>233</v>
      </c>
      <c r="L1" s="97" t="s">
        <v>234</v>
      </c>
      <c r="M1" s="97" t="s">
        <v>3</v>
      </c>
      <c r="N1" s="97" t="s">
        <v>235</v>
      </c>
    </row>
    <row r="2" spans="1:14" ht="15" customHeight="1" x14ac:dyDescent="0.35">
      <c r="A2" s="98">
        <f>IF($B2="","",COUNTA($B$2:$B2))</f>
        <v>1</v>
      </c>
      <c r="B2" s="99" t="s">
        <v>236</v>
      </c>
      <c r="C2" s="98" t="s">
        <v>237</v>
      </c>
      <c r="D2" s="98" t="s">
        <v>238</v>
      </c>
      <c r="E2" s="99" t="s">
        <v>31</v>
      </c>
      <c r="F2" s="99" t="s">
        <v>239</v>
      </c>
      <c r="G2" s="99" t="s">
        <v>240</v>
      </c>
      <c r="H2" s="100">
        <v>46086</v>
      </c>
      <c r="I2" s="101">
        <f t="shared" ref="I2:I65" si="0">IF($H2="","",DATE(YEAR($H2),MONTH($H2),1))</f>
        <v>46082</v>
      </c>
      <c r="J2" s="99" t="s">
        <v>241</v>
      </c>
      <c r="K2" s="99" t="s">
        <v>242</v>
      </c>
      <c r="L2" s="99">
        <v>1</v>
      </c>
      <c r="M2" s="99" t="s">
        <v>243</v>
      </c>
      <c r="N2" s="99" t="s">
        <v>244</v>
      </c>
    </row>
    <row r="3" spans="1:14" ht="15" customHeight="1" x14ac:dyDescent="0.35">
      <c r="A3" s="98">
        <f>IF($B3="","",COUNTA($B$2:$B3))</f>
        <v>2</v>
      </c>
      <c r="B3" s="99" t="s">
        <v>245</v>
      </c>
      <c r="C3" s="98" t="s">
        <v>246</v>
      </c>
      <c r="D3" s="98" t="s">
        <v>238</v>
      </c>
      <c r="E3" s="99" t="s">
        <v>31</v>
      </c>
      <c r="F3" s="99" t="s">
        <v>247</v>
      </c>
      <c r="G3" s="99" t="s">
        <v>240</v>
      </c>
      <c r="H3" s="100">
        <v>46098</v>
      </c>
      <c r="I3" s="101">
        <f t="shared" si="0"/>
        <v>46082</v>
      </c>
      <c r="J3" s="99" t="s">
        <v>241</v>
      </c>
      <c r="K3" s="99" t="s">
        <v>242</v>
      </c>
      <c r="L3" s="99">
        <v>1</v>
      </c>
      <c r="M3" s="99" t="s">
        <v>248</v>
      </c>
      <c r="N3" s="99" t="s">
        <v>244</v>
      </c>
    </row>
    <row r="4" spans="1:14" ht="15" customHeight="1" x14ac:dyDescent="0.35">
      <c r="A4" s="98">
        <f>IF($B4="","",COUNTA($B$2:$B4))</f>
        <v>3</v>
      </c>
      <c r="B4" s="99" t="s">
        <v>249</v>
      </c>
      <c r="C4" s="98" t="s">
        <v>250</v>
      </c>
      <c r="D4" s="98" t="s">
        <v>238</v>
      </c>
      <c r="E4" s="99" t="s">
        <v>31</v>
      </c>
      <c r="F4" s="99" t="s">
        <v>251</v>
      </c>
      <c r="G4" s="99" t="s">
        <v>240</v>
      </c>
      <c r="H4" s="100">
        <v>46147</v>
      </c>
      <c r="I4" s="101">
        <f t="shared" si="0"/>
        <v>46143</v>
      </c>
      <c r="J4" s="99" t="s">
        <v>241</v>
      </c>
      <c r="K4" s="99" t="s">
        <v>242</v>
      </c>
      <c r="L4" s="99">
        <v>1</v>
      </c>
      <c r="M4" s="99" t="s">
        <v>252</v>
      </c>
      <c r="N4" s="99" t="s">
        <v>244</v>
      </c>
    </row>
    <row r="5" spans="1:14" ht="15" customHeight="1" x14ac:dyDescent="0.35">
      <c r="A5" s="98">
        <f>IF($B5="","",COUNTA($B$2:$B5))</f>
        <v>4</v>
      </c>
      <c r="B5" s="99" t="s">
        <v>253</v>
      </c>
      <c r="C5" s="98" t="s">
        <v>254</v>
      </c>
      <c r="D5" s="98" t="s">
        <v>238</v>
      </c>
      <c r="E5" s="99" t="s">
        <v>31</v>
      </c>
      <c r="F5" s="99" t="s">
        <v>251</v>
      </c>
      <c r="G5" s="99" t="s">
        <v>240</v>
      </c>
      <c r="H5" s="100">
        <v>46147</v>
      </c>
      <c r="I5" s="101">
        <f t="shared" si="0"/>
        <v>46143</v>
      </c>
      <c r="J5" s="99" t="s">
        <v>241</v>
      </c>
      <c r="K5" s="99" t="s">
        <v>242</v>
      </c>
      <c r="L5" s="99">
        <v>1</v>
      </c>
      <c r="M5" s="99" t="s">
        <v>252</v>
      </c>
      <c r="N5" s="99" t="s">
        <v>244</v>
      </c>
    </row>
    <row r="6" spans="1:14" ht="15" customHeight="1" x14ac:dyDescent="0.35">
      <c r="A6" s="98">
        <f>IF($B6="","",COUNTA($B$2:$B6))</f>
        <v>5</v>
      </c>
      <c r="B6" s="99" t="s">
        <v>255</v>
      </c>
      <c r="C6" s="98" t="s">
        <v>256</v>
      </c>
      <c r="D6" s="98" t="s">
        <v>238</v>
      </c>
      <c r="E6" s="99" t="s">
        <v>31</v>
      </c>
      <c r="F6" s="99" t="s">
        <v>257</v>
      </c>
      <c r="G6" s="99" t="s">
        <v>240</v>
      </c>
      <c r="H6" s="100">
        <v>46152</v>
      </c>
      <c r="I6" s="101">
        <f t="shared" si="0"/>
        <v>46143</v>
      </c>
      <c r="J6" s="99" t="s">
        <v>241</v>
      </c>
      <c r="K6" s="99" t="s">
        <v>242</v>
      </c>
      <c r="L6" s="99">
        <v>1</v>
      </c>
      <c r="M6" s="99" t="s">
        <v>258</v>
      </c>
      <c r="N6" s="99" t="s">
        <v>259</v>
      </c>
    </row>
    <row r="7" spans="1:14" ht="15" customHeight="1" x14ac:dyDescent="0.35">
      <c r="A7" s="98">
        <f>IF($B7="","",COUNTA($B$2:$B7))</f>
        <v>6</v>
      </c>
      <c r="B7" s="99" t="s">
        <v>260</v>
      </c>
      <c r="C7" s="98" t="s">
        <v>261</v>
      </c>
      <c r="D7" s="98" t="s">
        <v>238</v>
      </c>
      <c r="E7" s="99" t="s">
        <v>31</v>
      </c>
      <c r="F7" s="99" t="s">
        <v>262</v>
      </c>
      <c r="G7" s="99" t="s">
        <v>240</v>
      </c>
      <c r="H7" s="100">
        <v>46153</v>
      </c>
      <c r="I7" s="101">
        <f t="shared" si="0"/>
        <v>46143</v>
      </c>
      <c r="J7" s="99" t="s">
        <v>241</v>
      </c>
      <c r="K7" s="99" t="s">
        <v>242</v>
      </c>
      <c r="L7" s="99">
        <v>1</v>
      </c>
      <c r="M7" s="99" t="s">
        <v>243</v>
      </c>
      <c r="N7" s="99" t="s">
        <v>259</v>
      </c>
    </row>
    <row r="8" spans="1:14" ht="15" customHeight="1" x14ac:dyDescent="0.35">
      <c r="A8" s="98">
        <f>IF($B8="","",COUNTA($B$2:$B8))</f>
        <v>7</v>
      </c>
      <c r="B8" s="99" t="s">
        <v>263</v>
      </c>
      <c r="C8" s="98" t="s">
        <v>264</v>
      </c>
      <c r="D8" s="98" t="s">
        <v>238</v>
      </c>
      <c r="E8" s="99" t="s">
        <v>31</v>
      </c>
      <c r="F8" s="99" t="s">
        <v>265</v>
      </c>
      <c r="G8" s="99" t="s">
        <v>240</v>
      </c>
      <c r="H8" s="100">
        <v>46155</v>
      </c>
      <c r="I8" s="101">
        <f t="shared" si="0"/>
        <v>46143</v>
      </c>
      <c r="J8" s="99" t="s">
        <v>241</v>
      </c>
      <c r="K8" s="99" t="s">
        <v>242</v>
      </c>
      <c r="L8" s="99">
        <v>1</v>
      </c>
      <c r="M8" s="99" t="s">
        <v>266</v>
      </c>
      <c r="N8" s="99" t="s">
        <v>267</v>
      </c>
    </row>
    <row r="9" spans="1:14" ht="15" customHeight="1" x14ac:dyDescent="0.35">
      <c r="A9" s="98">
        <f>IF($B9="","",COUNTA($B$2:$B9))</f>
        <v>8</v>
      </c>
      <c r="B9" s="99" t="s">
        <v>268</v>
      </c>
      <c r="C9" s="98" t="s">
        <v>269</v>
      </c>
      <c r="D9" s="98" t="s">
        <v>270</v>
      </c>
      <c r="E9" s="99" t="s">
        <v>17</v>
      </c>
      <c r="F9" s="99" t="s">
        <v>271</v>
      </c>
      <c r="G9" s="99" t="s">
        <v>240</v>
      </c>
      <c r="H9" s="100">
        <v>46158</v>
      </c>
      <c r="I9" s="101">
        <f t="shared" si="0"/>
        <v>46143</v>
      </c>
      <c r="J9" s="99" t="s">
        <v>241</v>
      </c>
      <c r="K9" s="99" t="s">
        <v>242</v>
      </c>
      <c r="L9" s="99">
        <v>1</v>
      </c>
      <c r="M9" s="99" t="s">
        <v>272</v>
      </c>
      <c r="N9" s="99" t="s">
        <v>244</v>
      </c>
    </row>
    <row r="10" spans="1:14" ht="15" customHeight="1" x14ac:dyDescent="0.35">
      <c r="A10" s="98">
        <f>IF($B10="","",COUNTA($B$2:$B10))</f>
        <v>9</v>
      </c>
      <c r="B10" s="99" t="s">
        <v>273</v>
      </c>
      <c r="C10" s="98" t="s">
        <v>274</v>
      </c>
      <c r="D10" s="98" t="s">
        <v>270</v>
      </c>
      <c r="E10" s="99" t="s">
        <v>17</v>
      </c>
      <c r="F10" s="99" t="s">
        <v>275</v>
      </c>
      <c r="G10" s="99" t="s">
        <v>240</v>
      </c>
      <c r="H10" s="100">
        <v>46158</v>
      </c>
      <c r="I10" s="101">
        <f t="shared" si="0"/>
        <v>46143</v>
      </c>
      <c r="J10" s="99" t="s">
        <v>241</v>
      </c>
      <c r="K10" s="99" t="s">
        <v>242</v>
      </c>
      <c r="L10" s="99">
        <v>1</v>
      </c>
      <c r="M10" s="99" t="s">
        <v>276</v>
      </c>
      <c r="N10" s="99" t="s">
        <v>244</v>
      </c>
    </row>
    <row r="11" spans="1:14" ht="15" customHeight="1" x14ac:dyDescent="0.35">
      <c r="A11" s="98">
        <f>IF($B11="","",COUNTA($B$2:$B11))</f>
        <v>10</v>
      </c>
      <c r="B11" s="99" t="s">
        <v>277</v>
      </c>
      <c r="C11" s="98" t="s">
        <v>278</v>
      </c>
      <c r="D11" s="98" t="s">
        <v>270</v>
      </c>
      <c r="E11" s="99" t="s">
        <v>17</v>
      </c>
      <c r="F11" s="99" t="s">
        <v>271</v>
      </c>
      <c r="G11" s="99" t="s">
        <v>240</v>
      </c>
      <c r="H11" s="100">
        <v>46158</v>
      </c>
      <c r="I11" s="101">
        <f t="shared" si="0"/>
        <v>46143</v>
      </c>
      <c r="J11" s="99" t="s">
        <v>241</v>
      </c>
      <c r="K11" s="99" t="s">
        <v>242</v>
      </c>
      <c r="L11" s="99">
        <v>1</v>
      </c>
      <c r="M11" s="99" t="s">
        <v>272</v>
      </c>
      <c r="N11" s="99" t="s">
        <v>244</v>
      </c>
    </row>
    <row r="12" spans="1:14" ht="15" customHeight="1" x14ac:dyDescent="0.35">
      <c r="A12" s="98">
        <f>IF($B12="","",COUNTA($B$2:$B12))</f>
        <v>11</v>
      </c>
      <c r="B12" s="99" t="s">
        <v>279</v>
      </c>
      <c r="C12" s="98" t="s">
        <v>280</v>
      </c>
      <c r="D12" s="98" t="s">
        <v>270</v>
      </c>
      <c r="E12" s="99" t="s">
        <v>17</v>
      </c>
      <c r="F12" s="99" t="s">
        <v>271</v>
      </c>
      <c r="G12" s="99" t="s">
        <v>240</v>
      </c>
      <c r="H12" s="100">
        <v>46158</v>
      </c>
      <c r="I12" s="101">
        <f t="shared" si="0"/>
        <v>46143</v>
      </c>
      <c r="J12" s="99" t="s">
        <v>241</v>
      </c>
      <c r="K12" s="99" t="s">
        <v>242</v>
      </c>
      <c r="L12" s="99">
        <v>1</v>
      </c>
      <c r="M12" s="99" t="s">
        <v>281</v>
      </c>
      <c r="N12" s="99" t="s">
        <v>244</v>
      </c>
    </row>
    <row r="13" spans="1:14" ht="15" customHeight="1" x14ac:dyDescent="0.35">
      <c r="A13" s="98">
        <f>IF($B13="","",COUNTA($B$2:$B13))</f>
        <v>12</v>
      </c>
      <c r="B13" s="99" t="s">
        <v>282</v>
      </c>
      <c r="C13" s="98" t="s">
        <v>283</v>
      </c>
      <c r="D13" s="98" t="s">
        <v>238</v>
      </c>
      <c r="E13" s="99" t="s">
        <v>31</v>
      </c>
      <c r="F13" s="99" t="s">
        <v>247</v>
      </c>
      <c r="G13" s="99" t="s">
        <v>240</v>
      </c>
      <c r="H13" s="100">
        <v>46159</v>
      </c>
      <c r="I13" s="101">
        <f t="shared" si="0"/>
        <v>46143</v>
      </c>
      <c r="J13" s="99" t="s">
        <v>241</v>
      </c>
      <c r="K13" s="99" t="s">
        <v>242</v>
      </c>
      <c r="L13" s="99">
        <v>1</v>
      </c>
      <c r="M13" s="99" t="s">
        <v>248</v>
      </c>
      <c r="N13" s="99" t="s">
        <v>244</v>
      </c>
    </row>
    <row r="14" spans="1:14" ht="15" customHeight="1" x14ac:dyDescent="0.35">
      <c r="A14" s="98">
        <f>IF($B14="","",COUNTA($B$2:$B14))</f>
        <v>13</v>
      </c>
      <c r="B14" s="99" t="s">
        <v>284</v>
      </c>
      <c r="C14" s="98" t="s">
        <v>285</v>
      </c>
      <c r="D14" s="98" t="s">
        <v>270</v>
      </c>
      <c r="E14" s="99" t="s">
        <v>17</v>
      </c>
      <c r="F14" s="99" t="s">
        <v>286</v>
      </c>
      <c r="G14" s="99" t="s">
        <v>240</v>
      </c>
      <c r="H14" s="100">
        <v>46159</v>
      </c>
      <c r="I14" s="101">
        <f t="shared" si="0"/>
        <v>46143</v>
      </c>
      <c r="J14" s="99" t="s">
        <v>241</v>
      </c>
      <c r="K14" s="99" t="s">
        <v>242</v>
      </c>
      <c r="L14" s="99">
        <v>1</v>
      </c>
      <c r="M14" s="99" t="s">
        <v>276</v>
      </c>
      <c r="N14" s="99" t="s">
        <v>244</v>
      </c>
    </row>
    <row r="15" spans="1:14" ht="15" customHeight="1" x14ac:dyDescent="0.35">
      <c r="A15" s="98">
        <f>IF($B15="","",COUNTA($B$2:$B15))</f>
        <v>14</v>
      </c>
      <c r="B15" s="99" t="s">
        <v>287</v>
      </c>
      <c r="C15" s="98" t="s">
        <v>288</v>
      </c>
      <c r="D15" s="98" t="s">
        <v>270</v>
      </c>
      <c r="E15" s="99" t="s">
        <v>17</v>
      </c>
      <c r="F15" s="99" t="s">
        <v>289</v>
      </c>
      <c r="G15" s="99" t="s">
        <v>240</v>
      </c>
      <c r="H15" s="100">
        <v>46160</v>
      </c>
      <c r="I15" s="101">
        <f t="shared" si="0"/>
        <v>46143</v>
      </c>
      <c r="J15" s="99" t="s">
        <v>241</v>
      </c>
      <c r="K15" s="99" t="s">
        <v>242</v>
      </c>
      <c r="L15" s="99">
        <v>1</v>
      </c>
      <c r="M15" s="99" t="s">
        <v>248</v>
      </c>
      <c r="N15" s="99" t="s">
        <v>267</v>
      </c>
    </row>
    <row r="16" spans="1:14" ht="15" customHeight="1" x14ac:dyDescent="0.35">
      <c r="A16" s="98">
        <f>IF($B16="","",COUNTA($B$2:$B16))</f>
        <v>15</v>
      </c>
      <c r="B16" s="99" t="s">
        <v>290</v>
      </c>
      <c r="C16" s="98" t="s">
        <v>291</v>
      </c>
      <c r="D16" s="98" t="s">
        <v>270</v>
      </c>
      <c r="E16" s="99" t="s">
        <v>17</v>
      </c>
      <c r="F16" s="99" t="s">
        <v>292</v>
      </c>
      <c r="G16" s="99" t="s">
        <v>240</v>
      </c>
      <c r="H16" s="100">
        <v>46160</v>
      </c>
      <c r="I16" s="101">
        <f t="shared" si="0"/>
        <v>46143</v>
      </c>
      <c r="J16" s="99" t="s">
        <v>241</v>
      </c>
      <c r="K16" s="99" t="s">
        <v>242</v>
      </c>
      <c r="L16" s="99">
        <v>1</v>
      </c>
      <c r="M16" s="99" t="s">
        <v>272</v>
      </c>
      <c r="N16" s="99" t="s">
        <v>244</v>
      </c>
    </row>
    <row r="17" spans="1:14" ht="15" customHeight="1" x14ac:dyDescent="0.35">
      <c r="A17" s="98">
        <f>IF($B17="","",COUNTA($B$2:$B17))</f>
        <v>16</v>
      </c>
      <c r="B17" s="99" t="s">
        <v>293</v>
      </c>
      <c r="C17" s="98" t="s">
        <v>294</v>
      </c>
      <c r="D17" s="98" t="s">
        <v>270</v>
      </c>
      <c r="E17" s="99" t="s">
        <v>17</v>
      </c>
      <c r="F17" s="99" t="s">
        <v>295</v>
      </c>
      <c r="G17" s="99" t="s">
        <v>240</v>
      </c>
      <c r="H17" s="100">
        <v>46160</v>
      </c>
      <c r="I17" s="101">
        <f t="shared" si="0"/>
        <v>46143</v>
      </c>
      <c r="J17" s="99" t="s">
        <v>241</v>
      </c>
      <c r="K17" s="99" t="s">
        <v>242</v>
      </c>
      <c r="L17" s="99">
        <v>1</v>
      </c>
      <c r="M17" s="99" t="s">
        <v>272</v>
      </c>
      <c r="N17" s="99" t="s">
        <v>244</v>
      </c>
    </row>
    <row r="18" spans="1:14" ht="15" customHeight="1" x14ac:dyDescent="0.35">
      <c r="A18" s="98">
        <f>IF($B18="","",COUNTA($B$2:$B18))</f>
        <v>17</v>
      </c>
      <c r="B18" s="99" t="s">
        <v>296</v>
      </c>
      <c r="C18" s="98" t="s">
        <v>297</v>
      </c>
      <c r="D18" s="98" t="s">
        <v>270</v>
      </c>
      <c r="E18" s="99" t="s">
        <v>17</v>
      </c>
      <c r="F18" s="99" t="s">
        <v>298</v>
      </c>
      <c r="G18" s="99" t="s">
        <v>240</v>
      </c>
      <c r="H18" s="100">
        <v>46160</v>
      </c>
      <c r="I18" s="101">
        <f t="shared" si="0"/>
        <v>46143</v>
      </c>
      <c r="J18" s="99" t="s">
        <v>241</v>
      </c>
      <c r="K18" s="99" t="s">
        <v>242</v>
      </c>
      <c r="L18" s="99">
        <v>1</v>
      </c>
      <c r="M18" s="99" t="s">
        <v>248</v>
      </c>
      <c r="N18" s="99" t="s">
        <v>244</v>
      </c>
    </row>
    <row r="19" spans="1:14" ht="15" customHeight="1" x14ac:dyDescent="0.35">
      <c r="A19" s="98">
        <f>IF($B19="","",COUNTA($B$2:$B19))</f>
        <v>18</v>
      </c>
      <c r="B19" s="99" t="s">
        <v>299</v>
      </c>
      <c r="C19" s="98" t="s">
        <v>300</v>
      </c>
      <c r="D19" s="98" t="s">
        <v>301</v>
      </c>
      <c r="E19" s="99" t="s">
        <v>302</v>
      </c>
      <c r="F19" s="99" t="s">
        <v>303</v>
      </c>
      <c r="G19" s="99" t="s">
        <v>304</v>
      </c>
      <c r="H19" s="100">
        <v>46166</v>
      </c>
      <c r="I19" s="101">
        <f t="shared" si="0"/>
        <v>46143</v>
      </c>
      <c r="J19" s="99" t="s">
        <v>241</v>
      </c>
      <c r="K19" s="99" t="s">
        <v>242</v>
      </c>
      <c r="L19" s="99">
        <v>1</v>
      </c>
      <c r="M19" s="99" t="s">
        <v>266</v>
      </c>
      <c r="N19" s="99" t="s">
        <v>244</v>
      </c>
    </row>
    <row r="20" spans="1:14" ht="15" customHeight="1" x14ac:dyDescent="0.35">
      <c r="A20" s="98">
        <f>IF($B20="","",COUNTA($B$2:$B20))</f>
        <v>19</v>
      </c>
      <c r="B20" s="99" t="s">
        <v>305</v>
      </c>
      <c r="C20" s="98" t="s">
        <v>306</v>
      </c>
      <c r="D20" s="98" t="s">
        <v>270</v>
      </c>
      <c r="E20" s="99" t="s">
        <v>17</v>
      </c>
      <c r="F20" s="99" t="s">
        <v>307</v>
      </c>
      <c r="G20" s="99" t="s">
        <v>240</v>
      </c>
      <c r="H20" s="100">
        <v>46162</v>
      </c>
      <c r="I20" s="101">
        <f t="shared" si="0"/>
        <v>46143</v>
      </c>
      <c r="J20" s="99" t="s">
        <v>241</v>
      </c>
      <c r="K20" s="99" t="s">
        <v>242</v>
      </c>
      <c r="L20" s="99">
        <v>1</v>
      </c>
      <c r="M20" s="99" t="s">
        <v>276</v>
      </c>
      <c r="N20" s="99" t="s">
        <v>244</v>
      </c>
    </row>
    <row r="21" spans="1:14" ht="15" customHeight="1" x14ac:dyDescent="0.35">
      <c r="A21" s="98">
        <f>IF($B21="","",COUNTA($B$2:$B21))</f>
        <v>20</v>
      </c>
      <c r="B21" s="99" t="s">
        <v>308</v>
      </c>
      <c r="C21" s="98" t="s">
        <v>309</v>
      </c>
      <c r="D21" s="98" t="s">
        <v>238</v>
      </c>
      <c r="E21" s="99" t="s">
        <v>31</v>
      </c>
      <c r="F21" s="99" t="s">
        <v>310</v>
      </c>
      <c r="G21" s="99" t="s">
        <v>240</v>
      </c>
      <c r="H21" s="100">
        <v>46160</v>
      </c>
      <c r="I21" s="101">
        <f t="shared" si="0"/>
        <v>46143</v>
      </c>
      <c r="J21" s="99" t="s">
        <v>241</v>
      </c>
      <c r="K21" s="99" t="s">
        <v>242</v>
      </c>
      <c r="L21" s="99">
        <v>1</v>
      </c>
      <c r="M21" s="99" t="s">
        <v>243</v>
      </c>
      <c r="N21" s="99" t="s">
        <v>244</v>
      </c>
    </row>
    <row r="22" spans="1:14" ht="15" customHeight="1" x14ac:dyDescent="0.35">
      <c r="A22" s="98">
        <f>IF($B22="","",COUNTA($B$2:$B22))</f>
        <v>21</v>
      </c>
      <c r="B22" s="99" t="s">
        <v>311</v>
      </c>
      <c r="C22" s="98" t="s">
        <v>312</v>
      </c>
      <c r="D22" s="98" t="s">
        <v>238</v>
      </c>
      <c r="E22" s="99" t="s">
        <v>31</v>
      </c>
      <c r="F22" s="99" t="s">
        <v>313</v>
      </c>
      <c r="G22" s="99" t="s">
        <v>240</v>
      </c>
      <c r="H22" s="100">
        <v>46160</v>
      </c>
      <c r="I22" s="101">
        <f t="shared" si="0"/>
        <v>46143</v>
      </c>
      <c r="J22" s="99" t="s">
        <v>241</v>
      </c>
      <c r="K22" s="99" t="s">
        <v>242</v>
      </c>
      <c r="L22" s="99">
        <v>1</v>
      </c>
      <c r="M22" s="99" t="s">
        <v>243</v>
      </c>
      <c r="N22" s="99" t="s">
        <v>244</v>
      </c>
    </row>
    <row r="23" spans="1:14" ht="15" customHeight="1" x14ac:dyDescent="0.35">
      <c r="A23" s="98">
        <f>IF($B23="","",COUNTA($B$2:$B23))</f>
        <v>22</v>
      </c>
      <c r="B23" s="99" t="s">
        <v>314</v>
      </c>
      <c r="C23" s="98" t="s">
        <v>315</v>
      </c>
      <c r="D23" s="98" t="s">
        <v>270</v>
      </c>
      <c r="E23" s="99" t="s">
        <v>17</v>
      </c>
      <c r="F23" s="99" t="s">
        <v>316</v>
      </c>
      <c r="G23" s="99" t="s">
        <v>240</v>
      </c>
      <c r="H23" s="100">
        <v>46163</v>
      </c>
      <c r="I23" s="101">
        <f t="shared" si="0"/>
        <v>46143</v>
      </c>
      <c r="J23" s="99" t="s">
        <v>241</v>
      </c>
      <c r="K23" s="99" t="s">
        <v>242</v>
      </c>
      <c r="L23" s="99">
        <v>1</v>
      </c>
      <c r="M23" s="99" t="s">
        <v>258</v>
      </c>
      <c r="N23" s="99" t="s">
        <v>244</v>
      </c>
    </row>
    <row r="24" spans="1:14" ht="15" customHeight="1" x14ac:dyDescent="0.35">
      <c r="A24" s="98">
        <f>IF($B24="","",COUNTA($B$2:$B24))</f>
        <v>23</v>
      </c>
      <c r="B24" s="99" t="s">
        <v>317</v>
      </c>
      <c r="C24" s="98" t="s">
        <v>318</v>
      </c>
      <c r="D24" s="98" t="s">
        <v>318</v>
      </c>
      <c r="E24" s="99" t="s">
        <v>17</v>
      </c>
      <c r="F24" s="99" t="s">
        <v>319</v>
      </c>
      <c r="G24" s="99" t="s">
        <v>240</v>
      </c>
      <c r="H24" s="100">
        <v>46166</v>
      </c>
      <c r="I24" s="101">
        <f t="shared" si="0"/>
        <v>46143</v>
      </c>
      <c r="J24" s="99" t="s">
        <v>241</v>
      </c>
      <c r="K24" s="99" t="s">
        <v>242</v>
      </c>
      <c r="L24" s="99">
        <v>1</v>
      </c>
      <c r="M24" s="99" t="s">
        <v>258</v>
      </c>
      <c r="N24" s="99" t="s">
        <v>244</v>
      </c>
    </row>
    <row r="25" spans="1:14" ht="15" customHeight="1" x14ac:dyDescent="0.35">
      <c r="A25" s="98">
        <f>IF($B25="","",COUNTA($B$2:$B25))</f>
        <v>24</v>
      </c>
      <c r="B25" s="99" t="s">
        <v>320</v>
      </c>
      <c r="C25" s="98" t="s">
        <v>321</v>
      </c>
      <c r="D25" s="98" t="s">
        <v>270</v>
      </c>
      <c r="E25" s="99" t="s">
        <v>17</v>
      </c>
      <c r="F25" s="99" t="s">
        <v>319</v>
      </c>
      <c r="G25" s="99" t="s">
        <v>240</v>
      </c>
      <c r="H25" s="100">
        <v>46166</v>
      </c>
      <c r="I25" s="101">
        <f t="shared" si="0"/>
        <v>46143</v>
      </c>
      <c r="J25" s="99" t="s">
        <v>241</v>
      </c>
      <c r="K25" s="99" t="s">
        <v>242</v>
      </c>
      <c r="L25" s="99">
        <v>1</v>
      </c>
      <c r="M25" s="99" t="s">
        <v>258</v>
      </c>
      <c r="N25" s="99" t="s">
        <v>244</v>
      </c>
    </row>
    <row r="26" spans="1:14" ht="15" customHeight="1" x14ac:dyDescent="0.35">
      <c r="A26" s="98">
        <f>IF($B26="","",COUNTA($B$2:$B26))</f>
        <v>25</v>
      </c>
      <c r="B26" s="99" t="s">
        <v>322</v>
      </c>
      <c r="C26" s="98" t="s">
        <v>323</v>
      </c>
      <c r="D26" s="98" t="s">
        <v>270</v>
      </c>
      <c r="E26" s="99" t="s">
        <v>17</v>
      </c>
      <c r="F26" s="99" t="s">
        <v>324</v>
      </c>
      <c r="G26" s="99" t="s">
        <v>240</v>
      </c>
      <c r="H26" s="100">
        <v>46160</v>
      </c>
      <c r="I26" s="101">
        <f t="shared" si="0"/>
        <v>46143</v>
      </c>
      <c r="J26" s="99" t="s">
        <v>241</v>
      </c>
      <c r="K26" s="99" t="s">
        <v>242</v>
      </c>
      <c r="L26" s="99">
        <v>1</v>
      </c>
      <c r="M26" s="99" t="s">
        <v>325</v>
      </c>
      <c r="N26" s="99" t="s">
        <v>244</v>
      </c>
    </row>
    <row r="27" spans="1:14" ht="15" customHeight="1" x14ac:dyDescent="0.35">
      <c r="A27" s="98">
        <f>IF($B27="","",COUNTA($B$2:$B27))</f>
        <v>26</v>
      </c>
      <c r="B27" s="99" t="s">
        <v>322</v>
      </c>
      <c r="C27" s="98" t="s">
        <v>323</v>
      </c>
      <c r="D27" s="98" t="s">
        <v>270</v>
      </c>
      <c r="E27" s="99" t="s">
        <v>17</v>
      </c>
      <c r="F27" s="99" t="s">
        <v>324</v>
      </c>
      <c r="G27" s="99" t="s">
        <v>240</v>
      </c>
      <c r="H27" s="100">
        <v>46160</v>
      </c>
      <c r="I27" s="101">
        <f t="shared" si="0"/>
        <v>46143</v>
      </c>
      <c r="J27" s="99" t="s">
        <v>241</v>
      </c>
      <c r="K27" s="99" t="s">
        <v>242</v>
      </c>
      <c r="L27" s="99">
        <v>1</v>
      </c>
      <c r="M27" s="99" t="s">
        <v>325</v>
      </c>
      <c r="N27" s="99" t="s">
        <v>244</v>
      </c>
    </row>
    <row r="28" spans="1:14" ht="15" customHeight="1" x14ac:dyDescent="0.35">
      <c r="A28" s="98">
        <f>IF($B28="","",COUNTA($B$2:$B28))</f>
        <v>27</v>
      </c>
      <c r="B28" s="99" t="s">
        <v>322</v>
      </c>
      <c r="C28" s="98" t="s">
        <v>323</v>
      </c>
      <c r="D28" s="98" t="s">
        <v>270</v>
      </c>
      <c r="E28" s="99" t="s">
        <v>17</v>
      </c>
      <c r="F28" s="99" t="s">
        <v>324</v>
      </c>
      <c r="G28" s="99" t="s">
        <v>240</v>
      </c>
      <c r="H28" s="100">
        <v>46160</v>
      </c>
      <c r="I28" s="101">
        <f t="shared" si="0"/>
        <v>46143</v>
      </c>
      <c r="J28" s="99" t="s">
        <v>241</v>
      </c>
      <c r="K28" s="99" t="s">
        <v>242</v>
      </c>
      <c r="L28" s="99">
        <v>1</v>
      </c>
      <c r="M28" s="99" t="s">
        <v>325</v>
      </c>
      <c r="N28" s="99" t="s">
        <v>244</v>
      </c>
    </row>
    <row r="29" spans="1:14" ht="15" customHeight="1" x14ac:dyDescent="0.35">
      <c r="A29" s="98">
        <f>IF($B29="","",COUNTA($B$2:$B29))</f>
        <v>28</v>
      </c>
      <c r="B29" s="99" t="s">
        <v>326</v>
      </c>
      <c r="C29" s="98" t="s">
        <v>327</v>
      </c>
      <c r="D29" s="98" t="s">
        <v>270</v>
      </c>
      <c r="E29" s="99" t="s">
        <v>17</v>
      </c>
      <c r="F29" s="99" t="s">
        <v>324</v>
      </c>
      <c r="G29" s="99" t="s">
        <v>240</v>
      </c>
      <c r="H29" s="100">
        <v>46160</v>
      </c>
      <c r="I29" s="101">
        <f t="shared" si="0"/>
        <v>46143</v>
      </c>
      <c r="J29" s="99" t="s">
        <v>241</v>
      </c>
      <c r="K29" s="99" t="s">
        <v>242</v>
      </c>
      <c r="L29" s="99">
        <v>1</v>
      </c>
      <c r="M29" s="99" t="s">
        <v>325</v>
      </c>
      <c r="N29" s="99" t="s">
        <v>244</v>
      </c>
    </row>
    <row r="30" spans="1:14" ht="15" customHeight="1" x14ac:dyDescent="0.35">
      <c r="A30" s="98">
        <f>IF($B30="","",COUNTA($B$2:$B30))</f>
        <v>29</v>
      </c>
      <c r="B30" s="99" t="s">
        <v>326</v>
      </c>
      <c r="C30" s="98" t="s">
        <v>327</v>
      </c>
      <c r="D30" s="98" t="s">
        <v>270</v>
      </c>
      <c r="E30" s="99" t="s">
        <v>17</v>
      </c>
      <c r="F30" s="99" t="s">
        <v>324</v>
      </c>
      <c r="G30" s="99" t="s">
        <v>240</v>
      </c>
      <c r="H30" s="100">
        <v>46160</v>
      </c>
      <c r="I30" s="101">
        <f t="shared" si="0"/>
        <v>46143</v>
      </c>
      <c r="J30" s="99" t="s">
        <v>241</v>
      </c>
      <c r="K30" s="99" t="s">
        <v>242</v>
      </c>
      <c r="L30" s="99">
        <v>1</v>
      </c>
      <c r="M30" s="99" t="s">
        <v>325</v>
      </c>
      <c r="N30" s="99" t="s">
        <v>244</v>
      </c>
    </row>
    <row r="31" spans="1:14" ht="15" customHeight="1" x14ac:dyDescent="0.35">
      <c r="A31" s="98">
        <f>IF($B31="","",COUNTA($B$2:$B31))</f>
        <v>30</v>
      </c>
      <c r="B31" s="99" t="s">
        <v>328</v>
      </c>
      <c r="C31" s="98" t="s">
        <v>329</v>
      </c>
      <c r="D31" s="98" t="s">
        <v>270</v>
      </c>
      <c r="E31" s="99" t="s">
        <v>17</v>
      </c>
      <c r="F31" s="99" t="s">
        <v>330</v>
      </c>
      <c r="G31" s="99" t="s">
        <v>304</v>
      </c>
      <c r="H31" s="100">
        <v>46167</v>
      </c>
      <c r="I31" s="101">
        <f t="shared" si="0"/>
        <v>46143</v>
      </c>
      <c r="J31" s="99" t="s">
        <v>241</v>
      </c>
      <c r="K31" s="99" t="s">
        <v>242</v>
      </c>
      <c r="L31" s="99">
        <v>1</v>
      </c>
      <c r="M31" s="99" t="s">
        <v>258</v>
      </c>
      <c r="N31" s="99" t="s">
        <v>267</v>
      </c>
    </row>
    <row r="32" spans="1:14" ht="15" customHeight="1" x14ac:dyDescent="0.35">
      <c r="A32" s="98" t="str">
        <f>IF($B32="","",COUNTA($B$2:$B32))</f>
        <v/>
      </c>
      <c r="B32" s="99"/>
      <c r="C32" s="98" t="str">
        <f>IF($B32="","",IFERROR(VLOOKUP($B32,[1]Employees!$A$2:$D$4801,2,FALSE()),"⚠ add to Employees"))</f>
        <v/>
      </c>
      <c r="D32" s="98" t="str">
        <f>IF($B32="","",IFERROR(VLOOKUP($B32,[1]Employees!$A$2:$D$4801,3,FALSE()),""))</f>
        <v/>
      </c>
      <c r="E32" s="99"/>
      <c r="F32" s="99"/>
      <c r="G32" s="99"/>
      <c r="H32" s="99"/>
      <c r="I32" s="102" t="str">
        <f t="shared" si="0"/>
        <v/>
      </c>
      <c r="J32" s="99"/>
      <c r="K32" s="99"/>
      <c r="L32" s="99">
        <v>1</v>
      </c>
      <c r="M32" s="99"/>
      <c r="N32" s="99"/>
    </row>
    <row r="33" spans="1:14" ht="15" customHeight="1" x14ac:dyDescent="0.35">
      <c r="A33" s="98" t="str">
        <f>IF($B33="","",COUNTA($B$2:$B33))</f>
        <v/>
      </c>
      <c r="B33" s="99"/>
      <c r="C33" s="98" t="str">
        <f>IF($B33="","",IFERROR(VLOOKUP($B33,[1]Employees!$A$2:$D$4801,2,FALSE()),"⚠ add to Employees"))</f>
        <v/>
      </c>
      <c r="D33" s="98" t="str">
        <f>IF($B33="","",IFERROR(VLOOKUP($B33,[1]Employees!$A$2:$D$4801,3,FALSE()),""))</f>
        <v/>
      </c>
      <c r="E33" s="99"/>
      <c r="F33" s="99"/>
      <c r="G33" s="99"/>
      <c r="H33" s="99"/>
      <c r="I33" s="102" t="str">
        <f t="shared" si="0"/>
        <v/>
      </c>
      <c r="J33" s="99"/>
      <c r="K33" s="99"/>
      <c r="L33" s="99">
        <v>1</v>
      </c>
      <c r="M33" s="99"/>
      <c r="N33" s="99"/>
    </row>
    <row r="34" spans="1:14" ht="15" customHeight="1" x14ac:dyDescent="0.35">
      <c r="A34" s="98" t="str">
        <f>IF($B34="","",COUNTA($B$2:$B34))</f>
        <v/>
      </c>
      <c r="B34" s="99"/>
      <c r="C34" s="98" t="str">
        <f>IF($B34="","",IFERROR(VLOOKUP($B34,[1]Employees!$A$2:$D$4801,2,FALSE()),"⚠ add to Employees"))</f>
        <v/>
      </c>
      <c r="D34" s="98" t="str">
        <f>IF($B34="","",IFERROR(VLOOKUP($B34,[1]Employees!$A$2:$D$4801,3,FALSE()),""))</f>
        <v/>
      </c>
      <c r="E34" s="99"/>
      <c r="F34" s="99"/>
      <c r="G34" s="99"/>
      <c r="H34" s="99"/>
      <c r="I34" s="102" t="str">
        <f t="shared" si="0"/>
        <v/>
      </c>
      <c r="J34" s="99"/>
      <c r="K34" s="99"/>
      <c r="L34" s="99">
        <v>1</v>
      </c>
      <c r="M34" s="99"/>
      <c r="N34" s="99"/>
    </row>
    <row r="35" spans="1:14" ht="15" customHeight="1" x14ac:dyDescent="0.35">
      <c r="A35" s="98" t="str">
        <f>IF($B35="","",COUNTA($B$2:$B35))</f>
        <v/>
      </c>
      <c r="B35" s="99"/>
      <c r="C35" s="98" t="str">
        <f>IF($B35="","",IFERROR(VLOOKUP($B35,[1]Employees!$A$2:$D$4801,2,FALSE()),"⚠ add to Employees"))</f>
        <v/>
      </c>
      <c r="D35" s="98" t="str">
        <f>IF($B35="","",IFERROR(VLOOKUP($B35,[1]Employees!$A$2:$D$4801,3,FALSE()),""))</f>
        <v/>
      </c>
      <c r="E35" s="99"/>
      <c r="F35" s="99"/>
      <c r="G35" s="99"/>
      <c r="H35" s="99"/>
      <c r="I35" s="102" t="str">
        <f t="shared" si="0"/>
        <v/>
      </c>
      <c r="J35" s="99"/>
      <c r="K35" s="99"/>
      <c r="L35" s="99">
        <v>1</v>
      </c>
      <c r="M35" s="99"/>
      <c r="N35" s="99"/>
    </row>
    <row r="36" spans="1:14" ht="15" customHeight="1" x14ac:dyDescent="0.35">
      <c r="A36" s="98" t="str">
        <f>IF($B36="","",COUNTA($B$2:$B36))</f>
        <v/>
      </c>
      <c r="B36" s="99"/>
      <c r="C36" s="98" t="str">
        <f>IF($B36="","",IFERROR(VLOOKUP($B36,[1]Employees!$A$2:$D$4801,2,FALSE()),"⚠ add to Employees"))</f>
        <v/>
      </c>
      <c r="D36" s="98" t="str">
        <f>IF($B36="","",IFERROR(VLOOKUP($B36,[1]Employees!$A$2:$D$4801,3,FALSE()),""))</f>
        <v/>
      </c>
      <c r="E36" s="99"/>
      <c r="F36" s="99"/>
      <c r="G36" s="99"/>
      <c r="H36" s="99"/>
      <c r="I36" s="102" t="str">
        <f t="shared" si="0"/>
        <v/>
      </c>
      <c r="J36" s="99"/>
      <c r="K36" s="99"/>
      <c r="L36" s="99">
        <v>1</v>
      </c>
      <c r="M36" s="99"/>
      <c r="N36" s="99"/>
    </row>
    <row r="37" spans="1:14" ht="15" customHeight="1" x14ac:dyDescent="0.35">
      <c r="A37" s="98" t="str">
        <f>IF($B37="","",COUNTA($B$2:$B37))</f>
        <v/>
      </c>
      <c r="B37" s="99"/>
      <c r="C37" s="98" t="str">
        <f>IF($B37="","",IFERROR(VLOOKUP($B37,[1]Employees!$A$2:$D$4801,2,FALSE()),"⚠ add to Employees"))</f>
        <v/>
      </c>
      <c r="D37" s="98" t="str">
        <f>IF($B37="","",IFERROR(VLOOKUP($B37,[1]Employees!$A$2:$D$4801,3,FALSE()),""))</f>
        <v/>
      </c>
      <c r="E37" s="99"/>
      <c r="F37" s="99"/>
      <c r="G37" s="99"/>
      <c r="H37" s="99"/>
      <c r="I37" s="102" t="str">
        <f t="shared" si="0"/>
        <v/>
      </c>
      <c r="J37" s="99"/>
      <c r="K37" s="99"/>
      <c r="L37" s="99">
        <v>1</v>
      </c>
      <c r="M37" s="99"/>
      <c r="N37" s="99"/>
    </row>
    <row r="38" spans="1:14" ht="15" customHeight="1" x14ac:dyDescent="0.35">
      <c r="A38" s="98" t="str">
        <f>IF($B38="","",COUNTA($B$2:$B38))</f>
        <v/>
      </c>
      <c r="B38" s="99"/>
      <c r="C38" s="98" t="str">
        <f>IF($B38="","",IFERROR(VLOOKUP($B38,[1]Employees!$A$2:$D$4801,2,FALSE()),"⚠ add to Employees"))</f>
        <v/>
      </c>
      <c r="D38" s="98" t="str">
        <f>IF($B38="","",IFERROR(VLOOKUP($B38,[1]Employees!$A$2:$D$4801,3,FALSE()),""))</f>
        <v/>
      </c>
      <c r="E38" s="99"/>
      <c r="F38" s="99"/>
      <c r="G38" s="99"/>
      <c r="H38" s="99"/>
      <c r="I38" s="102" t="str">
        <f t="shared" si="0"/>
        <v/>
      </c>
      <c r="J38" s="99"/>
      <c r="K38" s="99"/>
      <c r="L38" s="99">
        <v>1</v>
      </c>
      <c r="M38" s="99"/>
      <c r="N38" s="99"/>
    </row>
    <row r="39" spans="1:14" ht="15" customHeight="1" x14ac:dyDescent="0.35">
      <c r="A39" s="98" t="str">
        <f>IF($B39="","",COUNTA($B$2:$B39))</f>
        <v/>
      </c>
      <c r="B39" s="99"/>
      <c r="C39" s="98" t="str">
        <f>IF($B39="","",IFERROR(VLOOKUP($B39,[1]Employees!$A$2:$D$4801,2,FALSE()),"⚠ add to Employees"))</f>
        <v/>
      </c>
      <c r="D39" s="98" t="str">
        <f>IF($B39="","",IFERROR(VLOOKUP($B39,[1]Employees!$A$2:$D$4801,3,FALSE()),""))</f>
        <v/>
      </c>
      <c r="E39" s="99"/>
      <c r="F39" s="99"/>
      <c r="G39" s="99"/>
      <c r="H39" s="99"/>
      <c r="I39" s="102" t="str">
        <f t="shared" si="0"/>
        <v/>
      </c>
      <c r="J39" s="99"/>
      <c r="K39" s="99"/>
      <c r="L39" s="99">
        <v>1</v>
      </c>
      <c r="M39" s="99"/>
      <c r="N39" s="99"/>
    </row>
    <row r="40" spans="1:14" ht="15" customHeight="1" x14ac:dyDescent="0.35">
      <c r="A40" s="98" t="str">
        <f>IF($B40="","",COUNTA($B$2:$B40))</f>
        <v/>
      </c>
      <c r="B40" s="99"/>
      <c r="C40" s="98" t="str">
        <f>IF($B40="","",IFERROR(VLOOKUP($B40,[1]Employees!$A$2:$D$4801,2,FALSE()),"⚠ add to Employees"))</f>
        <v/>
      </c>
      <c r="D40" s="98" t="str">
        <f>IF($B40="","",IFERROR(VLOOKUP($B40,[1]Employees!$A$2:$D$4801,3,FALSE()),""))</f>
        <v/>
      </c>
      <c r="E40" s="99"/>
      <c r="F40" s="99"/>
      <c r="G40" s="99"/>
      <c r="H40" s="99"/>
      <c r="I40" s="102" t="str">
        <f t="shared" si="0"/>
        <v/>
      </c>
      <c r="J40" s="99"/>
      <c r="K40" s="99"/>
      <c r="L40" s="99">
        <v>1</v>
      </c>
      <c r="M40" s="99"/>
      <c r="N40" s="99"/>
    </row>
    <row r="41" spans="1:14" ht="15" customHeight="1" x14ac:dyDescent="0.35">
      <c r="A41" t="str">
        <f>IF($B41="","",COUNTA($B$2:$B41))</f>
        <v/>
      </c>
      <c r="C41" t="str">
        <f>IF($B41="","",IFERROR(VLOOKUP($B41,[1]Employees!$A$2:$D$4801,2,FALSE()),"⚠ add to Employees"))</f>
        <v/>
      </c>
      <c r="D41" t="str">
        <f>IF($B41="","",IFERROR(VLOOKUP($B41,[1]Employees!$A$2:$D$4801,3,FALSE()),""))</f>
        <v/>
      </c>
      <c r="I41" s="103" t="str">
        <f t="shared" si="0"/>
        <v/>
      </c>
      <c r="L41">
        <v>1</v>
      </c>
    </row>
    <row r="42" spans="1:14" ht="15" customHeight="1" x14ac:dyDescent="0.35">
      <c r="A42" t="str">
        <f>IF($B42="","",COUNTA($B$2:$B42))</f>
        <v/>
      </c>
      <c r="C42" t="str">
        <f>IF($B42="","",IFERROR(VLOOKUP($B42,[1]Employees!$A$2:$D$4801,2,FALSE()),"⚠ add to Employees"))</f>
        <v/>
      </c>
      <c r="D42" t="str">
        <f>IF($B42="","",IFERROR(VLOOKUP($B42,[1]Employees!$A$2:$D$4801,3,FALSE()),""))</f>
        <v/>
      </c>
      <c r="I42" s="103" t="str">
        <f t="shared" si="0"/>
        <v/>
      </c>
      <c r="L42">
        <v>1</v>
      </c>
    </row>
    <row r="43" spans="1:14" ht="15" customHeight="1" x14ac:dyDescent="0.35">
      <c r="A43" t="str">
        <f>IF($B43="","",COUNTA($B$2:$B43))</f>
        <v/>
      </c>
      <c r="C43" t="str">
        <f>IF($B43="","",IFERROR(VLOOKUP($B43,[1]Employees!$A$2:$D$4801,2,FALSE()),"⚠ add to Employees"))</f>
        <v/>
      </c>
      <c r="D43" t="str">
        <f>IF($B43="","",IFERROR(VLOOKUP($B43,[1]Employees!$A$2:$D$4801,3,FALSE()),""))</f>
        <v/>
      </c>
      <c r="I43" s="103" t="str">
        <f t="shared" si="0"/>
        <v/>
      </c>
      <c r="L43">
        <v>1</v>
      </c>
    </row>
    <row r="44" spans="1:14" ht="15" customHeight="1" x14ac:dyDescent="0.35">
      <c r="A44" t="str">
        <f>IF($B44="","",COUNTA($B$2:$B44))</f>
        <v/>
      </c>
      <c r="C44" t="str">
        <f>IF($B44="","",IFERROR(VLOOKUP($B44,[1]Employees!$A$2:$D$4801,2,FALSE()),"⚠ add to Employees"))</f>
        <v/>
      </c>
      <c r="D44" t="str">
        <f>IF($B44="","",IFERROR(VLOOKUP($B44,[1]Employees!$A$2:$D$4801,3,FALSE()),""))</f>
        <v/>
      </c>
      <c r="I44" s="103" t="str">
        <f t="shared" si="0"/>
        <v/>
      </c>
      <c r="L44">
        <v>1</v>
      </c>
    </row>
    <row r="45" spans="1:14" ht="15" customHeight="1" x14ac:dyDescent="0.35">
      <c r="A45" t="str">
        <f>IF($B45="","",COUNTA($B$2:$B45))</f>
        <v/>
      </c>
      <c r="C45" t="str">
        <f>IF($B45="","",IFERROR(VLOOKUP($B45,[1]Employees!$A$2:$D$4801,2,FALSE()),"⚠ add to Employees"))</f>
        <v/>
      </c>
      <c r="D45" t="str">
        <f>IF($B45="","",IFERROR(VLOOKUP($B45,[1]Employees!$A$2:$D$4801,3,FALSE()),""))</f>
        <v/>
      </c>
      <c r="I45" s="103" t="str">
        <f t="shared" si="0"/>
        <v/>
      </c>
      <c r="L45">
        <v>1</v>
      </c>
    </row>
    <row r="46" spans="1:14" ht="15" customHeight="1" x14ac:dyDescent="0.35">
      <c r="A46" t="str">
        <f>IF($B46="","",COUNTA($B$2:$B46))</f>
        <v/>
      </c>
      <c r="C46" t="str">
        <f>IF($B46="","",IFERROR(VLOOKUP($B46,[1]Employees!$A$2:$D$4801,2,FALSE()),"⚠ add to Employees"))</f>
        <v/>
      </c>
      <c r="D46" t="str">
        <f>IF($B46="","",IFERROR(VLOOKUP($B46,[1]Employees!$A$2:$D$4801,3,FALSE()),""))</f>
        <v/>
      </c>
      <c r="I46" s="103" t="str">
        <f t="shared" si="0"/>
        <v/>
      </c>
      <c r="L46">
        <v>1</v>
      </c>
    </row>
    <row r="47" spans="1:14" ht="15" customHeight="1" x14ac:dyDescent="0.35">
      <c r="A47" t="str">
        <f>IF($B47="","",COUNTA($B$2:$B47))</f>
        <v/>
      </c>
      <c r="C47" t="str">
        <f>IF($B47="","",IFERROR(VLOOKUP($B47,[1]Employees!$A$2:$D$4801,2,FALSE()),"⚠ add to Employees"))</f>
        <v/>
      </c>
      <c r="D47" t="str">
        <f>IF($B47="","",IFERROR(VLOOKUP($B47,[1]Employees!$A$2:$D$4801,3,FALSE()),""))</f>
        <v/>
      </c>
      <c r="I47" s="103" t="str">
        <f t="shared" si="0"/>
        <v/>
      </c>
      <c r="L47">
        <v>1</v>
      </c>
    </row>
    <row r="48" spans="1:14" ht="15" customHeight="1" x14ac:dyDescent="0.35">
      <c r="A48" t="str">
        <f>IF($B48="","",COUNTA($B$2:$B48))</f>
        <v/>
      </c>
      <c r="C48" t="str">
        <f>IF($B48="","",IFERROR(VLOOKUP($B48,[1]Employees!$A$2:$D$4801,2,FALSE()),"⚠ add to Employees"))</f>
        <v/>
      </c>
      <c r="D48" t="str">
        <f>IF($B48="","",IFERROR(VLOOKUP($B48,[1]Employees!$A$2:$D$4801,3,FALSE()),""))</f>
        <v/>
      </c>
      <c r="I48" s="103" t="str">
        <f t="shared" si="0"/>
        <v/>
      </c>
      <c r="L48">
        <v>1</v>
      </c>
    </row>
    <row r="49" spans="1:12" ht="15" customHeight="1" x14ac:dyDescent="0.35">
      <c r="A49" t="str">
        <f>IF($B49="","",COUNTA($B$2:$B49))</f>
        <v/>
      </c>
      <c r="C49" t="str">
        <f>IF($B49="","",IFERROR(VLOOKUP($B49,[1]Employees!$A$2:$D$4801,2,FALSE()),"⚠ add to Employees"))</f>
        <v/>
      </c>
      <c r="D49" t="str">
        <f>IF($B49="","",IFERROR(VLOOKUP($B49,[1]Employees!$A$2:$D$4801,3,FALSE()),""))</f>
        <v/>
      </c>
      <c r="I49" s="103" t="str">
        <f t="shared" si="0"/>
        <v/>
      </c>
      <c r="L49">
        <v>1</v>
      </c>
    </row>
    <row r="50" spans="1:12" ht="15" customHeight="1" x14ac:dyDescent="0.35">
      <c r="A50" t="str">
        <f>IF($B50="","",COUNTA($B$2:$B50))</f>
        <v/>
      </c>
      <c r="C50" t="str">
        <f>IF($B50="","",IFERROR(VLOOKUP($B50,[1]Employees!$A$2:$D$4801,2,FALSE()),"⚠ add to Employees"))</f>
        <v/>
      </c>
      <c r="D50" t="str">
        <f>IF($B50="","",IFERROR(VLOOKUP($B50,[1]Employees!$A$2:$D$4801,3,FALSE()),""))</f>
        <v/>
      </c>
      <c r="I50" s="103" t="str">
        <f t="shared" si="0"/>
        <v/>
      </c>
      <c r="L50">
        <v>1</v>
      </c>
    </row>
    <row r="51" spans="1:12" ht="15" customHeight="1" x14ac:dyDescent="0.35">
      <c r="A51" t="str">
        <f>IF($B51="","",COUNTA($B$2:$B51))</f>
        <v/>
      </c>
      <c r="C51" t="str">
        <f>IF($B51="","",IFERROR(VLOOKUP($B51,[1]Employees!$A$2:$D$4801,2,FALSE()),"⚠ add to Employees"))</f>
        <v/>
      </c>
      <c r="D51" t="str">
        <f>IF($B51="","",IFERROR(VLOOKUP($B51,[1]Employees!$A$2:$D$4801,3,FALSE()),""))</f>
        <v/>
      </c>
      <c r="I51" s="103" t="str">
        <f t="shared" si="0"/>
        <v/>
      </c>
      <c r="L51">
        <v>1</v>
      </c>
    </row>
    <row r="52" spans="1:12" ht="15" customHeight="1" x14ac:dyDescent="0.35">
      <c r="A52" t="str">
        <f>IF($B52="","",COUNTA($B$2:$B52))</f>
        <v/>
      </c>
      <c r="C52" t="str">
        <f>IF($B52="","",IFERROR(VLOOKUP($B52,[1]Employees!$A$2:$D$4801,2,FALSE()),"⚠ add to Employees"))</f>
        <v/>
      </c>
      <c r="D52" t="str">
        <f>IF($B52="","",IFERROR(VLOOKUP($B52,[1]Employees!$A$2:$D$4801,3,FALSE()),""))</f>
        <v/>
      </c>
      <c r="I52" s="103" t="str">
        <f t="shared" si="0"/>
        <v/>
      </c>
      <c r="L52">
        <v>1</v>
      </c>
    </row>
    <row r="53" spans="1:12" ht="15" customHeight="1" x14ac:dyDescent="0.35">
      <c r="A53" t="str">
        <f>IF($B53="","",COUNTA($B$2:$B53))</f>
        <v/>
      </c>
      <c r="C53" t="str">
        <f>IF($B53="","",IFERROR(VLOOKUP($B53,[1]Employees!$A$2:$D$4801,2,FALSE()),"⚠ add to Employees"))</f>
        <v/>
      </c>
      <c r="D53" t="str">
        <f>IF($B53="","",IFERROR(VLOOKUP($B53,[1]Employees!$A$2:$D$4801,3,FALSE()),""))</f>
        <v/>
      </c>
      <c r="I53" s="103" t="str">
        <f t="shared" si="0"/>
        <v/>
      </c>
      <c r="L53">
        <v>1</v>
      </c>
    </row>
    <row r="54" spans="1:12" ht="15" customHeight="1" x14ac:dyDescent="0.35">
      <c r="A54" t="str">
        <f>IF($B54="","",COUNTA($B$2:$B54))</f>
        <v/>
      </c>
      <c r="C54" t="str">
        <f>IF($B54="","",IFERROR(VLOOKUP($B54,[1]Employees!$A$2:$D$4801,2,FALSE()),"⚠ add to Employees"))</f>
        <v/>
      </c>
      <c r="D54" t="str">
        <f>IF($B54="","",IFERROR(VLOOKUP($B54,[1]Employees!$A$2:$D$4801,3,FALSE()),""))</f>
        <v/>
      </c>
      <c r="I54" s="103" t="str">
        <f t="shared" si="0"/>
        <v/>
      </c>
      <c r="L54">
        <v>1</v>
      </c>
    </row>
    <row r="55" spans="1:12" ht="15" customHeight="1" x14ac:dyDescent="0.35">
      <c r="A55" t="str">
        <f>IF($B55="","",COUNTA($B$2:$B55))</f>
        <v/>
      </c>
      <c r="C55" t="str">
        <f>IF($B55="","",IFERROR(VLOOKUP($B55,[1]Employees!$A$2:$D$4801,2,FALSE()),"⚠ add to Employees"))</f>
        <v/>
      </c>
      <c r="D55" t="str">
        <f>IF($B55="","",IFERROR(VLOOKUP($B55,[1]Employees!$A$2:$D$4801,3,FALSE()),""))</f>
        <v/>
      </c>
      <c r="I55" s="103" t="str">
        <f t="shared" si="0"/>
        <v/>
      </c>
      <c r="L55">
        <v>1</v>
      </c>
    </row>
    <row r="56" spans="1:12" ht="15" customHeight="1" x14ac:dyDescent="0.35">
      <c r="A56" t="str">
        <f>IF($B56="","",COUNTA($B$2:$B56))</f>
        <v/>
      </c>
      <c r="C56" t="str">
        <f>IF($B56="","",IFERROR(VLOOKUP($B56,[1]Employees!$A$2:$D$4801,2,FALSE()),"⚠ add to Employees"))</f>
        <v/>
      </c>
      <c r="D56" t="str">
        <f>IF($B56="","",IFERROR(VLOOKUP($B56,[1]Employees!$A$2:$D$4801,3,FALSE()),""))</f>
        <v/>
      </c>
      <c r="I56" s="103" t="str">
        <f t="shared" si="0"/>
        <v/>
      </c>
      <c r="L56">
        <v>1</v>
      </c>
    </row>
    <row r="57" spans="1:12" ht="15" customHeight="1" x14ac:dyDescent="0.35">
      <c r="A57" t="str">
        <f>IF($B57="","",COUNTA($B$2:$B57))</f>
        <v/>
      </c>
      <c r="C57" t="str">
        <f>IF($B57="","",IFERROR(VLOOKUP($B57,[1]Employees!$A$2:$D$4801,2,FALSE()),"⚠ add to Employees"))</f>
        <v/>
      </c>
      <c r="D57" t="str">
        <f>IF($B57="","",IFERROR(VLOOKUP($B57,[1]Employees!$A$2:$D$4801,3,FALSE()),""))</f>
        <v/>
      </c>
      <c r="I57" s="103" t="str">
        <f t="shared" si="0"/>
        <v/>
      </c>
      <c r="L57">
        <v>1</v>
      </c>
    </row>
    <row r="58" spans="1:12" ht="15" customHeight="1" x14ac:dyDescent="0.35">
      <c r="A58" t="str">
        <f>IF($B58="","",COUNTA($B$2:$B58))</f>
        <v/>
      </c>
      <c r="C58" t="str">
        <f>IF($B58="","",IFERROR(VLOOKUP($B58,[1]Employees!$A$2:$D$4801,2,FALSE()),"⚠ add to Employees"))</f>
        <v/>
      </c>
      <c r="D58" t="str">
        <f>IF($B58="","",IFERROR(VLOOKUP($B58,[1]Employees!$A$2:$D$4801,3,FALSE()),""))</f>
        <v/>
      </c>
      <c r="I58" s="103" t="str">
        <f t="shared" si="0"/>
        <v/>
      </c>
      <c r="L58">
        <v>1</v>
      </c>
    </row>
    <row r="59" spans="1:12" ht="15" customHeight="1" x14ac:dyDescent="0.35">
      <c r="A59" t="str">
        <f>IF($B59="","",COUNTA($B$2:$B59))</f>
        <v/>
      </c>
      <c r="C59" t="str">
        <f>IF($B59="","",IFERROR(VLOOKUP($B59,[1]Employees!$A$2:$D$4801,2,FALSE()),"⚠ add to Employees"))</f>
        <v/>
      </c>
      <c r="D59" t="str">
        <f>IF($B59="","",IFERROR(VLOOKUP($B59,[1]Employees!$A$2:$D$4801,3,FALSE()),""))</f>
        <v/>
      </c>
      <c r="I59" s="103" t="str">
        <f t="shared" si="0"/>
        <v/>
      </c>
      <c r="L59">
        <v>1</v>
      </c>
    </row>
    <row r="60" spans="1:12" ht="15" customHeight="1" x14ac:dyDescent="0.35">
      <c r="A60" t="str">
        <f>IF($B60="","",COUNTA($B$2:$B60))</f>
        <v/>
      </c>
      <c r="C60" t="str">
        <f>IF($B60="","",IFERROR(VLOOKUP($B60,[1]Employees!$A$2:$D$4801,2,FALSE()),"⚠ add to Employees"))</f>
        <v/>
      </c>
      <c r="D60" t="str">
        <f>IF($B60="","",IFERROR(VLOOKUP($B60,[1]Employees!$A$2:$D$4801,3,FALSE()),""))</f>
        <v/>
      </c>
      <c r="I60" s="103" t="str">
        <f t="shared" si="0"/>
        <v/>
      </c>
      <c r="L60">
        <v>1</v>
      </c>
    </row>
    <row r="61" spans="1:12" ht="15" customHeight="1" x14ac:dyDescent="0.35">
      <c r="A61" t="str">
        <f>IF($B61="","",COUNTA($B$2:$B61))</f>
        <v/>
      </c>
      <c r="C61" t="str">
        <f>IF($B61="","",IFERROR(VLOOKUP($B61,[1]Employees!$A$2:$D$4801,2,FALSE()),"⚠ add to Employees"))</f>
        <v/>
      </c>
      <c r="D61" t="str">
        <f>IF($B61="","",IFERROR(VLOOKUP($B61,[1]Employees!$A$2:$D$4801,3,FALSE()),""))</f>
        <v/>
      </c>
      <c r="I61" s="103" t="str">
        <f t="shared" si="0"/>
        <v/>
      </c>
      <c r="L61">
        <v>1</v>
      </c>
    </row>
    <row r="62" spans="1:12" ht="15" customHeight="1" x14ac:dyDescent="0.35">
      <c r="A62" t="str">
        <f>IF($B62="","",COUNTA($B$2:$B62))</f>
        <v/>
      </c>
      <c r="C62" t="str">
        <f>IF($B62="","",IFERROR(VLOOKUP($B62,[1]Employees!$A$2:$D$4801,2,FALSE()),"⚠ add to Employees"))</f>
        <v/>
      </c>
      <c r="D62" t="str">
        <f>IF($B62="","",IFERROR(VLOOKUP($B62,[1]Employees!$A$2:$D$4801,3,FALSE()),""))</f>
        <v/>
      </c>
      <c r="I62" s="103" t="str">
        <f t="shared" si="0"/>
        <v/>
      </c>
      <c r="L62">
        <v>1</v>
      </c>
    </row>
    <row r="63" spans="1:12" ht="15" customHeight="1" x14ac:dyDescent="0.35">
      <c r="A63" t="str">
        <f>IF($B63="","",COUNTA($B$2:$B63))</f>
        <v/>
      </c>
      <c r="C63" t="str">
        <f>IF($B63="","",IFERROR(VLOOKUP($B63,[1]Employees!$A$2:$D$4801,2,FALSE()),"⚠ add to Employees"))</f>
        <v/>
      </c>
      <c r="D63" t="str">
        <f>IF($B63="","",IFERROR(VLOOKUP($B63,[1]Employees!$A$2:$D$4801,3,FALSE()),""))</f>
        <v/>
      </c>
      <c r="I63" s="103" t="str">
        <f t="shared" si="0"/>
        <v/>
      </c>
      <c r="L63">
        <v>1</v>
      </c>
    </row>
    <row r="64" spans="1:12" ht="15" customHeight="1" x14ac:dyDescent="0.35">
      <c r="A64" t="str">
        <f>IF($B64="","",COUNTA($B$2:$B64))</f>
        <v/>
      </c>
      <c r="C64" t="str">
        <f>IF($B64="","",IFERROR(VLOOKUP($B64,[1]Employees!$A$2:$D$4801,2,FALSE()),"⚠ add to Employees"))</f>
        <v/>
      </c>
      <c r="D64" t="str">
        <f>IF($B64="","",IFERROR(VLOOKUP($B64,[1]Employees!$A$2:$D$4801,3,FALSE()),""))</f>
        <v/>
      </c>
      <c r="I64" s="103" t="str">
        <f t="shared" si="0"/>
        <v/>
      </c>
      <c r="L64">
        <v>1</v>
      </c>
    </row>
    <row r="65" spans="1:12" ht="15" customHeight="1" x14ac:dyDescent="0.35">
      <c r="A65" t="str">
        <f>IF($B65="","",COUNTA($B$2:$B65))</f>
        <v/>
      </c>
      <c r="C65" t="str">
        <f>IF($B65="","",IFERROR(VLOOKUP($B65,[1]Employees!$A$2:$D$4801,2,FALSE()),"⚠ add to Employees"))</f>
        <v/>
      </c>
      <c r="D65" t="str">
        <f>IF($B65="","",IFERROR(VLOOKUP($B65,[1]Employees!$A$2:$D$4801,3,FALSE()),""))</f>
        <v/>
      </c>
      <c r="I65" s="103" t="str">
        <f t="shared" si="0"/>
        <v/>
      </c>
      <c r="L65">
        <v>1</v>
      </c>
    </row>
    <row r="66" spans="1:12" ht="15" customHeight="1" x14ac:dyDescent="0.35">
      <c r="A66" t="str">
        <f>IF($B66="","",COUNTA($B$2:$B66))</f>
        <v/>
      </c>
      <c r="C66" t="str">
        <f>IF($B66="","",IFERROR(VLOOKUP($B66,[1]Employees!$A$2:$D$4801,2,FALSE()),"⚠ add to Employees"))</f>
        <v/>
      </c>
      <c r="D66" t="str">
        <f>IF($B66="","",IFERROR(VLOOKUP($B66,[1]Employees!$A$2:$D$4801,3,FALSE()),""))</f>
        <v/>
      </c>
      <c r="I66" s="103" t="str">
        <f t="shared" ref="I66:I129" si="1">IF($H66="","",DATE(YEAR($H66),MONTH($H66),1))</f>
        <v/>
      </c>
      <c r="L66">
        <v>1</v>
      </c>
    </row>
    <row r="67" spans="1:12" ht="15" customHeight="1" x14ac:dyDescent="0.35">
      <c r="A67" t="str">
        <f>IF($B67="","",COUNTA($B$2:$B67))</f>
        <v/>
      </c>
      <c r="C67" t="str">
        <f>IF($B67="","",IFERROR(VLOOKUP($B67,[1]Employees!$A$2:$D$4801,2,FALSE()),"⚠ add to Employees"))</f>
        <v/>
      </c>
      <c r="D67" t="str">
        <f>IF($B67="","",IFERROR(VLOOKUP($B67,[1]Employees!$A$2:$D$4801,3,FALSE()),""))</f>
        <v/>
      </c>
      <c r="I67" s="103" t="str">
        <f t="shared" si="1"/>
        <v/>
      </c>
      <c r="L67">
        <v>1</v>
      </c>
    </row>
    <row r="68" spans="1:12" ht="15" customHeight="1" x14ac:dyDescent="0.35">
      <c r="A68" t="str">
        <f>IF($B68="","",COUNTA($B$2:$B68))</f>
        <v/>
      </c>
      <c r="C68" t="str">
        <f>IF($B68="","",IFERROR(VLOOKUP($B68,[1]Employees!$A$2:$D$4801,2,FALSE()),"⚠ add to Employees"))</f>
        <v/>
      </c>
      <c r="D68" t="str">
        <f>IF($B68="","",IFERROR(VLOOKUP($B68,[1]Employees!$A$2:$D$4801,3,FALSE()),""))</f>
        <v/>
      </c>
      <c r="I68" s="103" t="str">
        <f t="shared" si="1"/>
        <v/>
      </c>
      <c r="L68">
        <v>1</v>
      </c>
    </row>
    <row r="69" spans="1:12" ht="15" customHeight="1" x14ac:dyDescent="0.35">
      <c r="A69" t="str">
        <f>IF($B69="","",COUNTA($B$2:$B69))</f>
        <v/>
      </c>
      <c r="C69" t="str">
        <f>IF($B69="","",IFERROR(VLOOKUP($B69,[1]Employees!$A$2:$D$4801,2,FALSE()),"⚠ add to Employees"))</f>
        <v/>
      </c>
      <c r="D69" t="str">
        <f>IF($B69="","",IFERROR(VLOOKUP($B69,[1]Employees!$A$2:$D$4801,3,FALSE()),""))</f>
        <v/>
      </c>
      <c r="I69" s="103" t="str">
        <f t="shared" si="1"/>
        <v/>
      </c>
      <c r="L69">
        <v>1</v>
      </c>
    </row>
    <row r="70" spans="1:12" ht="15" customHeight="1" x14ac:dyDescent="0.35">
      <c r="A70" t="str">
        <f>IF($B70="","",COUNTA($B$2:$B70))</f>
        <v/>
      </c>
      <c r="C70" t="str">
        <f>IF($B70="","",IFERROR(VLOOKUP($B70,[1]Employees!$A$2:$D$4801,2,FALSE()),"⚠ add to Employees"))</f>
        <v/>
      </c>
      <c r="D70" t="str">
        <f>IF($B70="","",IFERROR(VLOOKUP($B70,[1]Employees!$A$2:$D$4801,3,FALSE()),""))</f>
        <v/>
      </c>
      <c r="I70" s="103" t="str">
        <f t="shared" si="1"/>
        <v/>
      </c>
      <c r="L70">
        <v>1</v>
      </c>
    </row>
    <row r="71" spans="1:12" ht="15" customHeight="1" x14ac:dyDescent="0.35">
      <c r="A71" t="str">
        <f>IF($B71="","",COUNTA($B$2:$B71))</f>
        <v/>
      </c>
      <c r="C71" t="str">
        <f>IF($B71="","",IFERROR(VLOOKUP($B71,[1]Employees!$A$2:$D$4801,2,FALSE()),"⚠ add to Employees"))</f>
        <v/>
      </c>
      <c r="D71" t="str">
        <f>IF($B71="","",IFERROR(VLOOKUP($B71,[1]Employees!$A$2:$D$4801,3,FALSE()),""))</f>
        <v/>
      </c>
      <c r="I71" s="103" t="str">
        <f t="shared" si="1"/>
        <v/>
      </c>
      <c r="L71">
        <v>1</v>
      </c>
    </row>
    <row r="72" spans="1:12" ht="15" customHeight="1" x14ac:dyDescent="0.35">
      <c r="A72" t="str">
        <f>IF($B72="","",COUNTA($B$2:$B72))</f>
        <v/>
      </c>
      <c r="C72" t="str">
        <f>IF($B72="","",IFERROR(VLOOKUP($B72,[1]Employees!$A$2:$D$4801,2,FALSE()),"⚠ add to Employees"))</f>
        <v/>
      </c>
      <c r="D72" t="str">
        <f>IF($B72="","",IFERROR(VLOOKUP($B72,[1]Employees!$A$2:$D$4801,3,FALSE()),""))</f>
        <v/>
      </c>
      <c r="I72" s="103" t="str">
        <f t="shared" si="1"/>
        <v/>
      </c>
      <c r="L72">
        <v>1</v>
      </c>
    </row>
    <row r="73" spans="1:12" ht="15" customHeight="1" x14ac:dyDescent="0.35">
      <c r="A73" t="str">
        <f>IF($B73="","",COUNTA($B$2:$B73))</f>
        <v/>
      </c>
      <c r="C73" t="str">
        <f>IF($B73="","",IFERROR(VLOOKUP($B73,[1]Employees!$A$2:$D$4801,2,FALSE()),"⚠ add to Employees"))</f>
        <v/>
      </c>
      <c r="D73" t="str">
        <f>IF($B73="","",IFERROR(VLOOKUP($B73,[1]Employees!$A$2:$D$4801,3,FALSE()),""))</f>
        <v/>
      </c>
      <c r="I73" s="103" t="str">
        <f t="shared" si="1"/>
        <v/>
      </c>
      <c r="L73">
        <v>1</v>
      </c>
    </row>
    <row r="74" spans="1:12" ht="15" customHeight="1" x14ac:dyDescent="0.35">
      <c r="A74" t="str">
        <f>IF($B74="","",COUNTA($B$2:$B74))</f>
        <v/>
      </c>
      <c r="C74" t="str">
        <f>IF($B74="","",IFERROR(VLOOKUP($B74,[1]Employees!$A$2:$D$4801,2,FALSE()),"⚠ add to Employees"))</f>
        <v/>
      </c>
      <c r="D74" t="str">
        <f>IF($B74="","",IFERROR(VLOOKUP($B74,[1]Employees!$A$2:$D$4801,3,FALSE()),""))</f>
        <v/>
      </c>
      <c r="I74" s="103" t="str">
        <f t="shared" si="1"/>
        <v/>
      </c>
      <c r="L74">
        <v>1</v>
      </c>
    </row>
    <row r="75" spans="1:12" ht="15" customHeight="1" x14ac:dyDescent="0.35">
      <c r="A75" t="str">
        <f>IF($B75="","",COUNTA($B$2:$B75))</f>
        <v/>
      </c>
      <c r="C75" t="str">
        <f>IF($B75="","",IFERROR(VLOOKUP($B75,[1]Employees!$A$2:$D$4801,2,FALSE()),"⚠ add to Employees"))</f>
        <v/>
      </c>
      <c r="D75" t="str">
        <f>IF($B75="","",IFERROR(VLOOKUP($B75,[1]Employees!$A$2:$D$4801,3,FALSE()),""))</f>
        <v/>
      </c>
      <c r="I75" s="103" t="str">
        <f t="shared" si="1"/>
        <v/>
      </c>
      <c r="L75">
        <v>1</v>
      </c>
    </row>
    <row r="76" spans="1:12" ht="15" customHeight="1" x14ac:dyDescent="0.35">
      <c r="A76" t="str">
        <f>IF($B76="","",COUNTA($B$2:$B76))</f>
        <v/>
      </c>
      <c r="C76" t="str">
        <f>IF($B76="","",IFERROR(VLOOKUP($B76,[1]Employees!$A$2:$D$4801,2,FALSE()),"⚠ add to Employees"))</f>
        <v/>
      </c>
      <c r="D76" t="str">
        <f>IF($B76="","",IFERROR(VLOOKUP($B76,[1]Employees!$A$2:$D$4801,3,FALSE()),""))</f>
        <v/>
      </c>
      <c r="I76" s="103" t="str">
        <f t="shared" si="1"/>
        <v/>
      </c>
      <c r="L76">
        <v>1</v>
      </c>
    </row>
    <row r="77" spans="1:12" ht="15" customHeight="1" x14ac:dyDescent="0.35">
      <c r="A77" t="str">
        <f>IF($B77="","",COUNTA($B$2:$B77))</f>
        <v/>
      </c>
      <c r="C77" t="str">
        <f>IF($B77="","",IFERROR(VLOOKUP($B77,[1]Employees!$A$2:$D$4801,2,FALSE()),"⚠ add to Employees"))</f>
        <v/>
      </c>
      <c r="D77" t="str">
        <f>IF($B77="","",IFERROR(VLOOKUP($B77,[1]Employees!$A$2:$D$4801,3,FALSE()),""))</f>
        <v/>
      </c>
      <c r="I77" s="103" t="str">
        <f t="shared" si="1"/>
        <v/>
      </c>
      <c r="L77">
        <v>1</v>
      </c>
    </row>
    <row r="78" spans="1:12" ht="15" customHeight="1" x14ac:dyDescent="0.35">
      <c r="A78" t="str">
        <f>IF($B78="","",COUNTA($B$2:$B78))</f>
        <v/>
      </c>
      <c r="C78" t="str">
        <f>IF($B78="","",IFERROR(VLOOKUP($B78,[1]Employees!$A$2:$D$4801,2,FALSE()),"⚠ add to Employees"))</f>
        <v/>
      </c>
      <c r="D78" t="str">
        <f>IF($B78="","",IFERROR(VLOOKUP($B78,[1]Employees!$A$2:$D$4801,3,FALSE()),""))</f>
        <v/>
      </c>
      <c r="I78" s="103" t="str">
        <f t="shared" si="1"/>
        <v/>
      </c>
      <c r="L78">
        <v>1</v>
      </c>
    </row>
    <row r="79" spans="1:12" ht="15" customHeight="1" x14ac:dyDescent="0.35">
      <c r="A79" t="str">
        <f>IF($B79="","",COUNTA($B$2:$B79))</f>
        <v/>
      </c>
      <c r="C79" t="str">
        <f>IF($B79="","",IFERROR(VLOOKUP($B79,[1]Employees!$A$2:$D$4801,2,FALSE()),"⚠ add to Employees"))</f>
        <v/>
      </c>
      <c r="D79" t="str">
        <f>IF($B79="","",IFERROR(VLOOKUP($B79,[1]Employees!$A$2:$D$4801,3,FALSE()),""))</f>
        <v/>
      </c>
      <c r="I79" s="103" t="str">
        <f t="shared" si="1"/>
        <v/>
      </c>
      <c r="L79">
        <v>1</v>
      </c>
    </row>
    <row r="80" spans="1:12" ht="15" customHeight="1" x14ac:dyDescent="0.35">
      <c r="A80" t="str">
        <f>IF($B80="","",COUNTA($B$2:$B80))</f>
        <v/>
      </c>
      <c r="C80" t="str">
        <f>IF($B80="","",IFERROR(VLOOKUP($B80,[1]Employees!$A$2:$D$4801,2,FALSE()),"⚠ add to Employees"))</f>
        <v/>
      </c>
      <c r="D80" t="str">
        <f>IF($B80="","",IFERROR(VLOOKUP($B80,[1]Employees!$A$2:$D$4801,3,FALSE()),""))</f>
        <v/>
      </c>
      <c r="I80" s="103" t="str">
        <f t="shared" si="1"/>
        <v/>
      </c>
      <c r="L80">
        <v>1</v>
      </c>
    </row>
    <row r="81" spans="1:12" ht="15" customHeight="1" x14ac:dyDescent="0.35">
      <c r="A81" t="str">
        <f>IF($B81="","",COUNTA($B$2:$B81))</f>
        <v/>
      </c>
      <c r="C81" t="str">
        <f>IF($B81="","",IFERROR(VLOOKUP($B81,[1]Employees!$A$2:$D$4801,2,FALSE()),"⚠ add to Employees"))</f>
        <v/>
      </c>
      <c r="D81" t="str">
        <f>IF($B81="","",IFERROR(VLOOKUP($B81,[1]Employees!$A$2:$D$4801,3,FALSE()),""))</f>
        <v/>
      </c>
      <c r="I81" s="103" t="str">
        <f t="shared" si="1"/>
        <v/>
      </c>
      <c r="L81">
        <v>1</v>
      </c>
    </row>
    <row r="82" spans="1:12" ht="15" customHeight="1" x14ac:dyDescent="0.35">
      <c r="A82" t="str">
        <f>IF($B82="","",COUNTA($B$2:$B82))</f>
        <v/>
      </c>
      <c r="C82" t="str">
        <f>IF($B82="","",IFERROR(VLOOKUP($B82,[1]Employees!$A$2:$D$4801,2,FALSE()),"⚠ add to Employees"))</f>
        <v/>
      </c>
      <c r="D82" t="str">
        <f>IF($B82="","",IFERROR(VLOOKUP($B82,[1]Employees!$A$2:$D$4801,3,FALSE()),""))</f>
        <v/>
      </c>
      <c r="I82" s="103" t="str">
        <f t="shared" si="1"/>
        <v/>
      </c>
      <c r="L82">
        <v>1</v>
      </c>
    </row>
    <row r="83" spans="1:12" ht="15" customHeight="1" x14ac:dyDescent="0.35">
      <c r="A83" t="str">
        <f>IF($B83="","",COUNTA($B$2:$B83))</f>
        <v/>
      </c>
      <c r="C83" t="str">
        <f>IF($B83="","",IFERROR(VLOOKUP($B83,[1]Employees!$A$2:$D$4801,2,FALSE()),"⚠ add to Employees"))</f>
        <v/>
      </c>
      <c r="D83" t="str">
        <f>IF($B83="","",IFERROR(VLOOKUP($B83,[1]Employees!$A$2:$D$4801,3,FALSE()),""))</f>
        <v/>
      </c>
      <c r="I83" s="103" t="str">
        <f t="shared" si="1"/>
        <v/>
      </c>
      <c r="L83">
        <v>1</v>
      </c>
    </row>
    <row r="84" spans="1:12" ht="15" customHeight="1" x14ac:dyDescent="0.35">
      <c r="A84" t="str">
        <f>IF($B84="","",COUNTA($B$2:$B84))</f>
        <v/>
      </c>
      <c r="C84" t="str">
        <f>IF($B84="","",IFERROR(VLOOKUP($B84,[1]Employees!$A$2:$D$4801,2,FALSE()),"⚠ add to Employees"))</f>
        <v/>
      </c>
      <c r="D84" t="str">
        <f>IF($B84="","",IFERROR(VLOOKUP($B84,[1]Employees!$A$2:$D$4801,3,FALSE()),""))</f>
        <v/>
      </c>
      <c r="I84" s="103" t="str">
        <f t="shared" si="1"/>
        <v/>
      </c>
      <c r="L84">
        <v>1</v>
      </c>
    </row>
    <row r="85" spans="1:12" ht="15" customHeight="1" x14ac:dyDescent="0.35">
      <c r="A85" t="str">
        <f>IF($B85="","",COUNTA($B$2:$B85))</f>
        <v/>
      </c>
      <c r="C85" t="str">
        <f>IF($B85="","",IFERROR(VLOOKUP($B85,[1]Employees!$A$2:$D$4801,2,FALSE()),"⚠ add to Employees"))</f>
        <v/>
      </c>
      <c r="D85" t="str">
        <f>IF($B85="","",IFERROR(VLOOKUP($B85,[1]Employees!$A$2:$D$4801,3,FALSE()),""))</f>
        <v/>
      </c>
      <c r="I85" s="103" t="str">
        <f t="shared" si="1"/>
        <v/>
      </c>
      <c r="L85">
        <v>1</v>
      </c>
    </row>
    <row r="86" spans="1:12" ht="15" customHeight="1" x14ac:dyDescent="0.35">
      <c r="A86" t="str">
        <f>IF($B86="","",COUNTA($B$2:$B86))</f>
        <v/>
      </c>
      <c r="C86" t="str">
        <f>IF($B86="","",IFERROR(VLOOKUP($B86,[1]Employees!$A$2:$D$4801,2,FALSE()),"⚠ add to Employees"))</f>
        <v/>
      </c>
      <c r="D86" t="str">
        <f>IF($B86="","",IFERROR(VLOOKUP($B86,[1]Employees!$A$2:$D$4801,3,FALSE()),""))</f>
        <v/>
      </c>
      <c r="I86" s="103" t="str">
        <f t="shared" si="1"/>
        <v/>
      </c>
      <c r="L86">
        <v>1</v>
      </c>
    </row>
    <row r="87" spans="1:12" ht="15" customHeight="1" x14ac:dyDescent="0.35">
      <c r="A87" t="str">
        <f>IF($B87="","",COUNTA($B$2:$B87))</f>
        <v/>
      </c>
      <c r="C87" t="str">
        <f>IF($B87="","",IFERROR(VLOOKUP($B87,[1]Employees!$A$2:$D$4801,2,FALSE()),"⚠ add to Employees"))</f>
        <v/>
      </c>
      <c r="D87" t="str">
        <f>IF($B87="","",IFERROR(VLOOKUP($B87,[1]Employees!$A$2:$D$4801,3,FALSE()),""))</f>
        <v/>
      </c>
      <c r="I87" s="103" t="str">
        <f t="shared" si="1"/>
        <v/>
      </c>
      <c r="L87">
        <v>1</v>
      </c>
    </row>
    <row r="88" spans="1:12" ht="15" customHeight="1" x14ac:dyDescent="0.35">
      <c r="A88" t="str">
        <f>IF($B88="","",COUNTA($B$2:$B88))</f>
        <v/>
      </c>
      <c r="C88" t="str">
        <f>IF($B88="","",IFERROR(VLOOKUP($B88,[1]Employees!$A$2:$D$4801,2,FALSE()),"⚠ add to Employees"))</f>
        <v/>
      </c>
      <c r="D88" t="str">
        <f>IF($B88="","",IFERROR(VLOOKUP($B88,[1]Employees!$A$2:$D$4801,3,FALSE()),""))</f>
        <v/>
      </c>
      <c r="I88" s="103" t="str">
        <f t="shared" si="1"/>
        <v/>
      </c>
      <c r="L88">
        <v>1</v>
      </c>
    </row>
    <row r="89" spans="1:12" ht="15" customHeight="1" x14ac:dyDescent="0.35">
      <c r="A89" t="str">
        <f>IF($B89="","",COUNTA($B$2:$B89))</f>
        <v/>
      </c>
      <c r="C89" t="str">
        <f>IF($B89="","",IFERROR(VLOOKUP($B89,[1]Employees!$A$2:$D$4801,2,FALSE()),"⚠ add to Employees"))</f>
        <v/>
      </c>
      <c r="D89" t="str">
        <f>IF($B89="","",IFERROR(VLOOKUP($B89,[1]Employees!$A$2:$D$4801,3,FALSE()),""))</f>
        <v/>
      </c>
      <c r="I89" s="103" t="str">
        <f t="shared" si="1"/>
        <v/>
      </c>
      <c r="L89">
        <v>1</v>
      </c>
    </row>
    <row r="90" spans="1:12" ht="15" customHeight="1" x14ac:dyDescent="0.35">
      <c r="A90" t="str">
        <f>IF($B90="","",COUNTA($B$2:$B90))</f>
        <v/>
      </c>
      <c r="C90" t="str">
        <f>IF($B90="","",IFERROR(VLOOKUP($B90,[1]Employees!$A$2:$D$4801,2,FALSE()),"⚠ add to Employees"))</f>
        <v/>
      </c>
      <c r="D90" t="str">
        <f>IF($B90="","",IFERROR(VLOOKUP($B90,[1]Employees!$A$2:$D$4801,3,FALSE()),""))</f>
        <v/>
      </c>
      <c r="I90" s="103" t="str">
        <f t="shared" si="1"/>
        <v/>
      </c>
      <c r="L90">
        <v>1</v>
      </c>
    </row>
    <row r="91" spans="1:12" ht="15" customHeight="1" x14ac:dyDescent="0.35">
      <c r="A91" t="str">
        <f>IF($B91="","",COUNTA($B$2:$B91))</f>
        <v/>
      </c>
      <c r="C91" t="str">
        <f>IF($B91="","",IFERROR(VLOOKUP($B91,[1]Employees!$A$2:$D$4801,2,FALSE()),"⚠ add to Employees"))</f>
        <v/>
      </c>
      <c r="D91" t="str">
        <f>IF($B91="","",IFERROR(VLOOKUP($B91,[1]Employees!$A$2:$D$4801,3,FALSE()),""))</f>
        <v/>
      </c>
      <c r="I91" s="103" t="str">
        <f t="shared" si="1"/>
        <v/>
      </c>
      <c r="L91">
        <v>1</v>
      </c>
    </row>
    <row r="92" spans="1:12" ht="15" customHeight="1" x14ac:dyDescent="0.35">
      <c r="A92" t="str">
        <f>IF($B92="","",COUNTA($B$2:$B92))</f>
        <v/>
      </c>
      <c r="C92" t="str">
        <f>IF($B92="","",IFERROR(VLOOKUP($B92,[1]Employees!$A$2:$D$4801,2,FALSE()),"⚠ add to Employees"))</f>
        <v/>
      </c>
      <c r="D92" t="str">
        <f>IF($B92="","",IFERROR(VLOOKUP($B92,[1]Employees!$A$2:$D$4801,3,FALSE()),""))</f>
        <v/>
      </c>
      <c r="I92" s="103" t="str">
        <f t="shared" si="1"/>
        <v/>
      </c>
      <c r="L92">
        <v>1</v>
      </c>
    </row>
    <row r="93" spans="1:12" ht="15" customHeight="1" x14ac:dyDescent="0.35">
      <c r="A93" t="str">
        <f>IF($B93="","",COUNTA($B$2:$B93))</f>
        <v/>
      </c>
      <c r="C93" t="str">
        <f>IF($B93="","",IFERROR(VLOOKUP($B93,[1]Employees!$A$2:$D$4801,2,FALSE()),"⚠ add to Employees"))</f>
        <v/>
      </c>
      <c r="D93" t="str">
        <f>IF($B93="","",IFERROR(VLOOKUP($B93,[1]Employees!$A$2:$D$4801,3,FALSE()),""))</f>
        <v/>
      </c>
      <c r="I93" s="103" t="str">
        <f t="shared" si="1"/>
        <v/>
      </c>
      <c r="L93">
        <v>1</v>
      </c>
    </row>
    <row r="94" spans="1:12" ht="15" customHeight="1" x14ac:dyDescent="0.35">
      <c r="A94" t="str">
        <f>IF($B94="","",COUNTA($B$2:$B94))</f>
        <v/>
      </c>
      <c r="C94" t="str">
        <f>IF($B94="","",IFERROR(VLOOKUP($B94,[1]Employees!$A$2:$D$4801,2,FALSE()),"⚠ add to Employees"))</f>
        <v/>
      </c>
      <c r="D94" t="str">
        <f>IF($B94="","",IFERROR(VLOOKUP($B94,[1]Employees!$A$2:$D$4801,3,FALSE()),""))</f>
        <v/>
      </c>
      <c r="I94" s="103" t="str">
        <f t="shared" si="1"/>
        <v/>
      </c>
      <c r="L94">
        <v>1</v>
      </c>
    </row>
    <row r="95" spans="1:12" ht="15" customHeight="1" x14ac:dyDescent="0.35">
      <c r="A95" t="str">
        <f>IF($B95="","",COUNTA($B$2:$B95))</f>
        <v/>
      </c>
      <c r="C95" t="str">
        <f>IF($B95="","",IFERROR(VLOOKUP($B95,[1]Employees!$A$2:$D$4801,2,FALSE()),"⚠ add to Employees"))</f>
        <v/>
      </c>
      <c r="D95" t="str">
        <f>IF($B95="","",IFERROR(VLOOKUP($B95,[1]Employees!$A$2:$D$4801,3,FALSE()),""))</f>
        <v/>
      </c>
      <c r="I95" s="103" t="str">
        <f t="shared" si="1"/>
        <v/>
      </c>
      <c r="L95">
        <v>1</v>
      </c>
    </row>
    <row r="96" spans="1:12" ht="15" customHeight="1" x14ac:dyDescent="0.35">
      <c r="A96" t="str">
        <f>IF($B96="","",COUNTA($B$2:$B96))</f>
        <v/>
      </c>
      <c r="C96" t="str">
        <f>IF($B96="","",IFERROR(VLOOKUP($B96,[1]Employees!$A$2:$D$4801,2,FALSE()),"⚠ add to Employees"))</f>
        <v/>
      </c>
      <c r="D96" t="str">
        <f>IF($B96="","",IFERROR(VLOOKUP($B96,[1]Employees!$A$2:$D$4801,3,FALSE()),""))</f>
        <v/>
      </c>
      <c r="I96" s="103" t="str">
        <f t="shared" si="1"/>
        <v/>
      </c>
      <c r="L96">
        <v>1</v>
      </c>
    </row>
    <row r="97" spans="1:12" ht="15" customHeight="1" x14ac:dyDescent="0.35">
      <c r="A97" t="str">
        <f>IF($B97="","",COUNTA($B$2:$B97))</f>
        <v/>
      </c>
      <c r="C97" t="str">
        <f>IF($B97="","",IFERROR(VLOOKUP($B97,[1]Employees!$A$2:$D$4801,2,FALSE()),"⚠ add to Employees"))</f>
        <v/>
      </c>
      <c r="D97" t="str">
        <f>IF($B97="","",IFERROR(VLOOKUP($B97,[1]Employees!$A$2:$D$4801,3,FALSE()),""))</f>
        <v/>
      </c>
      <c r="I97" s="103" t="str">
        <f t="shared" si="1"/>
        <v/>
      </c>
      <c r="L97">
        <v>1</v>
      </c>
    </row>
    <row r="98" spans="1:12" ht="15" customHeight="1" x14ac:dyDescent="0.35">
      <c r="A98" t="str">
        <f>IF($B98="","",COUNTA($B$2:$B98))</f>
        <v/>
      </c>
      <c r="C98" t="str">
        <f>IF($B98="","",IFERROR(VLOOKUP($B98,[1]Employees!$A$2:$D$4801,2,FALSE()),"⚠ add to Employees"))</f>
        <v/>
      </c>
      <c r="D98" t="str">
        <f>IF($B98="","",IFERROR(VLOOKUP($B98,[1]Employees!$A$2:$D$4801,3,FALSE()),""))</f>
        <v/>
      </c>
      <c r="I98" s="103" t="str">
        <f t="shared" si="1"/>
        <v/>
      </c>
      <c r="L98">
        <v>1</v>
      </c>
    </row>
    <row r="99" spans="1:12" ht="15" customHeight="1" x14ac:dyDescent="0.35">
      <c r="A99" t="str">
        <f>IF($B99="","",COUNTA($B$2:$B99))</f>
        <v/>
      </c>
      <c r="C99" t="str">
        <f>IF($B99="","",IFERROR(VLOOKUP($B99,[1]Employees!$A$2:$D$4801,2,FALSE()),"⚠ add to Employees"))</f>
        <v/>
      </c>
      <c r="D99" t="str">
        <f>IF($B99="","",IFERROR(VLOOKUP($B99,[1]Employees!$A$2:$D$4801,3,FALSE()),""))</f>
        <v/>
      </c>
      <c r="I99" s="103" t="str">
        <f t="shared" si="1"/>
        <v/>
      </c>
      <c r="L99">
        <v>1</v>
      </c>
    </row>
    <row r="100" spans="1:12" ht="15" customHeight="1" x14ac:dyDescent="0.35">
      <c r="A100" t="str">
        <f>IF($B100="","",COUNTA($B$2:$B100))</f>
        <v/>
      </c>
      <c r="C100" t="str">
        <f>IF($B100="","",IFERROR(VLOOKUP($B100,[1]Employees!$A$2:$D$4801,2,FALSE()),"⚠ add to Employees"))</f>
        <v/>
      </c>
      <c r="D100" t="str">
        <f>IF($B100="","",IFERROR(VLOOKUP($B100,[1]Employees!$A$2:$D$4801,3,FALSE()),""))</f>
        <v/>
      </c>
      <c r="I100" s="103" t="str">
        <f t="shared" si="1"/>
        <v/>
      </c>
      <c r="L100">
        <v>1</v>
      </c>
    </row>
    <row r="101" spans="1:12" ht="15" customHeight="1" x14ac:dyDescent="0.35">
      <c r="A101" t="str">
        <f>IF($B101="","",COUNTA($B$2:$B101))</f>
        <v/>
      </c>
      <c r="C101" t="str">
        <f>IF($B101="","",IFERROR(VLOOKUP($B101,[1]Employees!$A$2:$D$4801,2,FALSE()),"⚠ add to Employees"))</f>
        <v/>
      </c>
      <c r="D101" t="str">
        <f>IF($B101="","",IFERROR(VLOOKUP($B101,[1]Employees!$A$2:$D$4801,3,FALSE()),""))</f>
        <v/>
      </c>
      <c r="I101" s="103" t="str">
        <f t="shared" si="1"/>
        <v/>
      </c>
      <c r="L101">
        <v>1</v>
      </c>
    </row>
    <row r="102" spans="1:12" ht="15" customHeight="1" x14ac:dyDescent="0.35">
      <c r="A102" t="str">
        <f>IF($B102="","",COUNTA($B$2:$B102))</f>
        <v/>
      </c>
      <c r="C102" t="str">
        <f>IF($B102="","",IFERROR(VLOOKUP($B102,[1]Employees!$A$2:$D$4801,2,FALSE()),"⚠ add to Employees"))</f>
        <v/>
      </c>
      <c r="D102" t="str">
        <f>IF($B102="","",IFERROR(VLOOKUP($B102,[1]Employees!$A$2:$D$4801,3,FALSE()),""))</f>
        <v/>
      </c>
      <c r="I102" s="103" t="str">
        <f t="shared" si="1"/>
        <v/>
      </c>
      <c r="L102">
        <v>1</v>
      </c>
    </row>
    <row r="103" spans="1:12" ht="15" customHeight="1" x14ac:dyDescent="0.35">
      <c r="A103" t="str">
        <f>IF($B103="","",COUNTA($B$2:$B103))</f>
        <v/>
      </c>
      <c r="C103" t="str">
        <f>IF($B103="","",IFERROR(VLOOKUP($B103,[1]Employees!$A$2:$D$4801,2,FALSE()),"⚠ add to Employees"))</f>
        <v/>
      </c>
      <c r="D103" t="str">
        <f>IF($B103="","",IFERROR(VLOOKUP($B103,[1]Employees!$A$2:$D$4801,3,FALSE()),""))</f>
        <v/>
      </c>
      <c r="I103" s="103" t="str">
        <f t="shared" si="1"/>
        <v/>
      </c>
      <c r="L103">
        <v>1</v>
      </c>
    </row>
    <row r="104" spans="1:12" ht="15" customHeight="1" x14ac:dyDescent="0.35">
      <c r="A104" t="str">
        <f>IF($B104="","",COUNTA($B$2:$B104))</f>
        <v/>
      </c>
      <c r="C104" t="str">
        <f>IF($B104="","",IFERROR(VLOOKUP($B104,[1]Employees!$A$2:$D$4801,2,FALSE()),"⚠ add to Employees"))</f>
        <v/>
      </c>
      <c r="D104" t="str">
        <f>IF($B104="","",IFERROR(VLOOKUP($B104,[1]Employees!$A$2:$D$4801,3,FALSE()),""))</f>
        <v/>
      </c>
      <c r="I104" s="103" t="str">
        <f t="shared" si="1"/>
        <v/>
      </c>
      <c r="L104">
        <v>1</v>
      </c>
    </row>
    <row r="105" spans="1:12" ht="15" customHeight="1" x14ac:dyDescent="0.35">
      <c r="A105" t="str">
        <f>IF($B105="","",COUNTA($B$2:$B105))</f>
        <v/>
      </c>
      <c r="C105" t="str">
        <f>IF($B105="","",IFERROR(VLOOKUP($B105,[1]Employees!$A$2:$D$4801,2,FALSE()),"⚠ add to Employees"))</f>
        <v/>
      </c>
      <c r="D105" t="str">
        <f>IF($B105="","",IFERROR(VLOOKUP($B105,[1]Employees!$A$2:$D$4801,3,FALSE()),""))</f>
        <v/>
      </c>
      <c r="I105" s="103" t="str">
        <f t="shared" si="1"/>
        <v/>
      </c>
      <c r="L105">
        <v>1</v>
      </c>
    </row>
    <row r="106" spans="1:12" ht="15" customHeight="1" x14ac:dyDescent="0.35">
      <c r="A106" t="str">
        <f>IF($B106="","",COUNTA($B$2:$B106))</f>
        <v/>
      </c>
      <c r="C106" t="str">
        <f>IF($B106="","",IFERROR(VLOOKUP($B106,[1]Employees!$A$2:$D$4801,2,FALSE()),"⚠ add to Employees"))</f>
        <v/>
      </c>
      <c r="D106" t="str">
        <f>IF($B106="","",IFERROR(VLOOKUP($B106,[1]Employees!$A$2:$D$4801,3,FALSE()),""))</f>
        <v/>
      </c>
      <c r="I106" s="103" t="str">
        <f t="shared" si="1"/>
        <v/>
      </c>
      <c r="L106">
        <v>1</v>
      </c>
    </row>
    <row r="107" spans="1:12" ht="15" customHeight="1" x14ac:dyDescent="0.35">
      <c r="A107" t="str">
        <f>IF($B107="","",COUNTA($B$2:$B107))</f>
        <v/>
      </c>
      <c r="C107" t="str">
        <f>IF($B107="","",IFERROR(VLOOKUP($B107,[1]Employees!$A$2:$D$4801,2,FALSE()),"⚠ add to Employees"))</f>
        <v/>
      </c>
      <c r="D107" t="str">
        <f>IF($B107="","",IFERROR(VLOOKUP($B107,[1]Employees!$A$2:$D$4801,3,FALSE()),""))</f>
        <v/>
      </c>
      <c r="I107" s="103" t="str">
        <f t="shared" si="1"/>
        <v/>
      </c>
      <c r="L107">
        <v>1</v>
      </c>
    </row>
    <row r="108" spans="1:12" ht="15" customHeight="1" x14ac:dyDescent="0.35">
      <c r="A108" t="str">
        <f>IF($B108="","",COUNTA($B$2:$B108))</f>
        <v/>
      </c>
      <c r="C108" t="str">
        <f>IF($B108="","",IFERROR(VLOOKUP($B108,[1]Employees!$A$2:$D$4801,2,FALSE()),"⚠ add to Employees"))</f>
        <v/>
      </c>
      <c r="D108" t="str">
        <f>IF($B108="","",IFERROR(VLOOKUP($B108,[1]Employees!$A$2:$D$4801,3,FALSE()),""))</f>
        <v/>
      </c>
      <c r="I108" s="103" t="str">
        <f t="shared" si="1"/>
        <v/>
      </c>
      <c r="L108">
        <v>1</v>
      </c>
    </row>
    <row r="109" spans="1:12" ht="15" customHeight="1" x14ac:dyDescent="0.35">
      <c r="A109" t="str">
        <f>IF($B109="","",COUNTA($B$2:$B109))</f>
        <v/>
      </c>
      <c r="C109" t="str">
        <f>IF($B109="","",IFERROR(VLOOKUP($B109,[1]Employees!$A$2:$D$4801,2,FALSE()),"⚠ add to Employees"))</f>
        <v/>
      </c>
      <c r="D109" t="str">
        <f>IF($B109="","",IFERROR(VLOOKUP($B109,[1]Employees!$A$2:$D$4801,3,FALSE()),""))</f>
        <v/>
      </c>
      <c r="I109" s="103" t="str">
        <f t="shared" si="1"/>
        <v/>
      </c>
      <c r="L109">
        <v>1</v>
      </c>
    </row>
    <row r="110" spans="1:12" ht="15" customHeight="1" x14ac:dyDescent="0.35">
      <c r="A110" t="str">
        <f>IF($B110="","",COUNTA($B$2:$B110))</f>
        <v/>
      </c>
      <c r="C110" t="str">
        <f>IF($B110="","",IFERROR(VLOOKUP($B110,[1]Employees!$A$2:$D$4801,2,FALSE()),"⚠ add to Employees"))</f>
        <v/>
      </c>
      <c r="D110" t="str">
        <f>IF($B110="","",IFERROR(VLOOKUP($B110,[1]Employees!$A$2:$D$4801,3,FALSE()),""))</f>
        <v/>
      </c>
      <c r="I110" s="103" t="str">
        <f t="shared" si="1"/>
        <v/>
      </c>
      <c r="L110">
        <v>1</v>
      </c>
    </row>
    <row r="111" spans="1:12" ht="15" customHeight="1" x14ac:dyDescent="0.35">
      <c r="A111" t="str">
        <f>IF($B111="","",COUNTA($B$2:$B111))</f>
        <v/>
      </c>
      <c r="C111" t="str">
        <f>IF($B111="","",IFERROR(VLOOKUP($B111,[1]Employees!$A$2:$D$4801,2,FALSE()),"⚠ add to Employees"))</f>
        <v/>
      </c>
      <c r="D111" t="str">
        <f>IF($B111="","",IFERROR(VLOOKUP($B111,[1]Employees!$A$2:$D$4801,3,FALSE()),""))</f>
        <v/>
      </c>
      <c r="I111" s="103" t="str">
        <f t="shared" si="1"/>
        <v/>
      </c>
      <c r="L111">
        <v>1</v>
      </c>
    </row>
    <row r="112" spans="1:12" ht="15" customHeight="1" x14ac:dyDescent="0.35">
      <c r="A112" t="str">
        <f>IF($B112="","",COUNTA($B$2:$B112))</f>
        <v/>
      </c>
      <c r="C112" t="str">
        <f>IF($B112="","",IFERROR(VLOOKUP($B112,[1]Employees!$A$2:$D$4801,2,FALSE()),"⚠ add to Employees"))</f>
        <v/>
      </c>
      <c r="D112" t="str">
        <f>IF($B112="","",IFERROR(VLOOKUP($B112,[1]Employees!$A$2:$D$4801,3,FALSE()),""))</f>
        <v/>
      </c>
      <c r="I112" s="103" t="str">
        <f t="shared" si="1"/>
        <v/>
      </c>
      <c r="L112">
        <v>1</v>
      </c>
    </row>
    <row r="113" spans="1:12" ht="15" customHeight="1" x14ac:dyDescent="0.35">
      <c r="A113" t="str">
        <f>IF($B113="","",COUNTA($B$2:$B113))</f>
        <v/>
      </c>
      <c r="C113" t="str">
        <f>IF($B113="","",IFERROR(VLOOKUP($B113,[1]Employees!$A$2:$D$4801,2,FALSE()),"⚠ add to Employees"))</f>
        <v/>
      </c>
      <c r="D113" t="str">
        <f>IF($B113="","",IFERROR(VLOOKUP($B113,[1]Employees!$A$2:$D$4801,3,FALSE()),""))</f>
        <v/>
      </c>
      <c r="I113" s="103" t="str">
        <f t="shared" si="1"/>
        <v/>
      </c>
      <c r="L113">
        <v>1</v>
      </c>
    </row>
    <row r="114" spans="1:12" ht="15" customHeight="1" x14ac:dyDescent="0.35">
      <c r="A114" t="str">
        <f>IF($B114="","",COUNTA($B$2:$B114))</f>
        <v/>
      </c>
      <c r="C114" t="str">
        <f>IF($B114="","",IFERROR(VLOOKUP($B114,[1]Employees!$A$2:$D$4801,2,FALSE()),"⚠ add to Employees"))</f>
        <v/>
      </c>
      <c r="D114" t="str">
        <f>IF($B114="","",IFERROR(VLOOKUP($B114,[1]Employees!$A$2:$D$4801,3,FALSE()),""))</f>
        <v/>
      </c>
      <c r="I114" s="103" t="str">
        <f t="shared" si="1"/>
        <v/>
      </c>
      <c r="L114">
        <v>1</v>
      </c>
    </row>
    <row r="115" spans="1:12" ht="15" customHeight="1" x14ac:dyDescent="0.35">
      <c r="A115" t="str">
        <f>IF($B115="","",COUNTA($B$2:$B115))</f>
        <v/>
      </c>
      <c r="C115" t="str">
        <f>IF($B115="","",IFERROR(VLOOKUP($B115,[1]Employees!$A$2:$D$4801,2,FALSE()),"⚠ add to Employees"))</f>
        <v/>
      </c>
      <c r="D115" t="str">
        <f>IF($B115="","",IFERROR(VLOOKUP($B115,[1]Employees!$A$2:$D$4801,3,FALSE()),""))</f>
        <v/>
      </c>
      <c r="I115" s="103" t="str">
        <f t="shared" si="1"/>
        <v/>
      </c>
      <c r="L115">
        <v>1</v>
      </c>
    </row>
    <row r="116" spans="1:12" ht="15" customHeight="1" x14ac:dyDescent="0.35">
      <c r="A116" t="str">
        <f>IF($B116="","",COUNTA($B$2:$B116))</f>
        <v/>
      </c>
      <c r="C116" t="str">
        <f>IF($B116="","",IFERROR(VLOOKUP($B116,[1]Employees!$A$2:$D$4801,2,FALSE()),"⚠ add to Employees"))</f>
        <v/>
      </c>
      <c r="D116" t="str">
        <f>IF($B116="","",IFERROR(VLOOKUP($B116,[1]Employees!$A$2:$D$4801,3,FALSE()),""))</f>
        <v/>
      </c>
      <c r="I116" s="103" t="str">
        <f t="shared" si="1"/>
        <v/>
      </c>
      <c r="L116">
        <v>1</v>
      </c>
    </row>
    <row r="117" spans="1:12" ht="15" customHeight="1" x14ac:dyDescent="0.35">
      <c r="A117" t="str">
        <f>IF($B117="","",COUNTA($B$2:$B117))</f>
        <v/>
      </c>
      <c r="C117" t="str">
        <f>IF($B117="","",IFERROR(VLOOKUP($B117,[1]Employees!$A$2:$D$4801,2,FALSE()),"⚠ add to Employees"))</f>
        <v/>
      </c>
      <c r="D117" t="str">
        <f>IF($B117="","",IFERROR(VLOOKUP($B117,[1]Employees!$A$2:$D$4801,3,FALSE()),""))</f>
        <v/>
      </c>
      <c r="I117" s="103" t="str">
        <f t="shared" si="1"/>
        <v/>
      </c>
      <c r="L117">
        <v>1</v>
      </c>
    </row>
    <row r="118" spans="1:12" ht="15" customHeight="1" x14ac:dyDescent="0.35">
      <c r="A118" t="str">
        <f>IF($B118="","",COUNTA($B$2:$B118))</f>
        <v/>
      </c>
      <c r="C118" t="str">
        <f>IF($B118="","",IFERROR(VLOOKUP($B118,[1]Employees!$A$2:$D$4801,2,FALSE()),"⚠ add to Employees"))</f>
        <v/>
      </c>
      <c r="D118" t="str">
        <f>IF($B118="","",IFERROR(VLOOKUP($B118,[1]Employees!$A$2:$D$4801,3,FALSE()),""))</f>
        <v/>
      </c>
      <c r="I118" s="103" t="str">
        <f t="shared" si="1"/>
        <v/>
      </c>
      <c r="L118">
        <v>1</v>
      </c>
    </row>
    <row r="119" spans="1:12" ht="15" customHeight="1" x14ac:dyDescent="0.35">
      <c r="A119" t="str">
        <f>IF($B119="","",COUNTA($B$2:$B119))</f>
        <v/>
      </c>
      <c r="C119" t="str">
        <f>IF($B119="","",IFERROR(VLOOKUP($B119,[1]Employees!$A$2:$D$4801,2,FALSE()),"⚠ add to Employees"))</f>
        <v/>
      </c>
      <c r="D119" t="str">
        <f>IF($B119="","",IFERROR(VLOOKUP($B119,[1]Employees!$A$2:$D$4801,3,FALSE()),""))</f>
        <v/>
      </c>
      <c r="I119" s="103" t="str">
        <f t="shared" si="1"/>
        <v/>
      </c>
      <c r="L119">
        <v>1</v>
      </c>
    </row>
    <row r="120" spans="1:12" ht="15" customHeight="1" x14ac:dyDescent="0.35">
      <c r="A120" t="str">
        <f>IF($B120="","",COUNTA($B$2:$B120))</f>
        <v/>
      </c>
      <c r="C120" t="str">
        <f>IF($B120="","",IFERROR(VLOOKUP($B120,[1]Employees!$A$2:$D$4801,2,FALSE()),"⚠ add to Employees"))</f>
        <v/>
      </c>
      <c r="D120" t="str">
        <f>IF($B120="","",IFERROR(VLOOKUP($B120,[1]Employees!$A$2:$D$4801,3,FALSE()),""))</f>
        <v/>
      </c>
      <c r="I120" s="103" t="str">
        <f t="shared" si="1"/>
        <v/>
      </c>
      <c r="L120">
        <v>1</v>
      </c>
    </row>
    <row r="121" spans="1:12" ht="15" customHeight="1" x14ac:dyDescent="0.35">
      <c r="A121" t="str">
        <f>IF($B121="","",COUNTA($B$2:$B121))</f>
        <v/>
      </c>
      <c r="C121" t="str">
        <f>IF($B121="","",IFERROR(VLOOKUP($B121,[1]Employees!$A$2:$D$4801,2,FALSE()),"⚠ add to Employees"))</f>
        <v/>
      </c>
      <c r="D121" t="str">
        <f>IF($B121="","",IFERROR(VLOOKUP($B121,[1]Employees!$A$2:$D$4801,3,FALSE()),""))</f>
        <v/>
      </c>
      <c r="I121" s="103" t="str">
        <f t="shared" si="1"/>
        <v/>
      </c>
      <c r="L121">
        <v>1</v>
      </c>
    </row>
    <row r="122" spans="1:12" ht="15" customHeight="1" x14ac:dyDescent="0.35">
      <c r="A122" t="str">
        <f>IF($B122="","",COUNTA($B$2:$B122))</f>
        <v/>
      </c>
      <c r="C122" t="str">
        <f>IF($B122="","",IFERROR(VLOOKUP($B122,[1]Employees!$A$2:$D$4801,2,FALSE()),"⚠ add to Employees"))</f>
        <v/>
      </c>
      <c r="D122" t="str">
        <f>IF($B122="","",IFERROR(VLOOKUP($B122,[1]Employees!$A$2:$D$4801,3,FALSE()),""))</f>
        <v/>
      </c>
      <c r="I122" s="103" t="str">
        <f t="shared" si="1"/>
        <v/>
      </c>
      <c r="L122">
        <v>1</v>
      </c>
    </row>
    <row r="123" spans="1:12" ht="15" customHeight="1" x14ac:dyDescent="0.35">
      <c r="A123" t="str">
        <f>IF($B123="","",COUNTA($B$2:$B123))</f>
        <v/>
      </c>
      <c r="C123" t="str">
        <f>IF($B123="","",IFERROR(VLOOKUP($B123,[1]Employees!$A$2:$D$4801,2,FALSE()),"⚠ add to Employees"))</f>
        <v/>
      </c>
      <c r="D123" t="str">
        <f>IF($B123="","",IFERROR(VLOOKUP($B123,[1]Employees!$A$2:$D$4801,3,FALSE()),""))</f>
        <v/>
      </c>
      <c r="I123" s="103" t="str">
        <f t="shared" si="1"/>
        <v/>
      </c>
      <c r="L123">
        <v>1</v>
      </c>
    </row>
    <row r="124" spans="1:12" ht="15" customHeight="1" x14ac:dyDescent="0.35">
      <c r="A124" t="str">
        <f>IF($B124="","",COUNTA($B$2:$B124))</f>
        <v/>
      </c>
      <c r="C124" t="str">
        <f>IF($B124="","",IFERROR(VLOOKUP($B124,[1]Employees!$A$2:$D$4801,2,FALSE()),"⚠ add to Employees"))</f>
        <v/>
      </c>
      <c r="D124" t="str">
        <f>IF($B124="","",IFERROR(VLOOKUP($B124,[1]Employees!$A$2:$D$4801,3,FALSE()),""))</f>
        <v/>
      </c>
      <c r="I124" s="103" t="str">
        <f t="shared" si="1"/>
        <v/>
      </c>
      <c r="L124">
        <v>1</v>
      </c>
    </row>
    <row r="125" spans="1:12" ht="15" customHeight="1" x14ac:dyDescent="0.35">
      <c r="A125" t="str">
        <f>IF($B125="","",COUNTA($B$2:$B125))</f>
        <v/>
      </c>
      <c r="C125" t="str">
        <f>IF($B125="","",IFERROR(VLOOKUP($B125,[1]Employees!$A$2:$D$4801,2,FALSE()),"⚠ add to Employees"))</f>
        <v/>
      </c>
      <c r="D125" t="str">
        <f>IF($B125="","",IFERROR(VLOOKUP($B125,[1]Employees!$A$2:$D$4801,3,FALSE()),""))</f>
        <v/>
      </c>
      <c r="I125" s="103" t="str">
        <f t="shared" si="1"/>
        <v/>
      </c>
      <c r="L125">
        <v>1</v>
      </c>
    </row>
    <row r="126" spans="1:12" ht="15" customHeight="1" x14ac:dyDescent="0.35">
      <c r="A126" t="str">
        <f>IF($B126="","",COUNTA($B$2:$B126))</f>
        <v/>
      </c>
      <c r="C126" t="str">
        <f>IF($B126="","",IFERROR(VLOOKUP($B126,[1]Employees!$A$2:$D$4801,2,FALSE()),"⚠ add to Employees"))</f>
        <v/>
      </c>
      <c r="D126" t="str">
        <f>IF($B126="","",IFERROR(VLOOKUP($B126,[1]Employees!$A$2:$D$4801,3,FALSE()),""))</f>
        <v/>
      </c>
      <c r="I126" s="103" t="str">
        <f t="shared" si="1"/>
        <v/>
      </c>
      <c r="L126">
        <v>1</v>
      </c>
    </row>
    <row r="127" spans="1:12" ht="15" customHeight="1" x14ac:dyDescent="0.35">
      <c r="A127" t="str">
        <f>IF($B127="","",COUNTA($B$2:$B127))</f>
        <v/>
      </c>
      <c r="C127" t="str">
        <f>IF($B127="","",IFERROR(VLOOKUP($B127,[1]Employees!$A$2:$D$4801,2,FALSE()),"⚠ add to Employees"))</f>
        <v/>
      </c>
      <c r="D127" t="str">
        <f>IF($B127="","",IFERROR(VLOOKUP($B127,[1]Employees!$A$2:$D$4801,3,FALSE()),""))</f>
        <v/>
      </c>
      <c r="I127" s="103" t="str">
        <f t="shared" si="1"/>
        <v/>
      </c>
      <c r="L127">
        <v>1</v>
      </c>
    </row>
    <row r="128" spans="1:12" ht="15" customHeight="1" x14ac:dyDescent="0.35">
      <c r="A128" t="str">
        <f>IF($B128="","",COUNTA($B$2:$B128))</f>
        <v/>
      </c>
      <c r="C128" t="str">
        <f>IF($B128="","",IFERROR(VLOOKUP($B128,[1]Employees!$A$2:$D$4801,2,FALSE()),"⚠ add to Employees"))</f>
        <v/>
      </c>
      <c r="D128" t="str">
        <f>IF($B128="","",IFERROR(VLOOKUP($B128,[1]Employees!$A$2:$D$4801,3,FALSE()),""))</f>
        <v/>
      </c>
      <c r="I128" s="103" t="str">
        <f t="shared" si="1"/>
        <v/>
      </c>
      <c r="L128">
        <v>1</v>
      </c>
    </row>
    <row r="129" spans="1:12" ht="15" customHeight="1" x14ac:dyDescent="0.35">
      <c r="A129" t="str">
        <f>IF($B129="","",COUNTA($B$2:$B129))</f>
        <v/>
      </c>
      <c r="C129" t="str">
        <f>IF($B129="","",IFERROR(VLOOKUP($B129,[1]Employees!$A$2:$D$4801,2,FALSE()),"⚠ add to Employees"))</f>
        <v/>
      </c>
      <c r="D129" t="str">
        <f>IF($B129="","",IFERROR(VLOOKUP($B129,[1]Employees!$A$2:$D$4801,3,FALSE()),""))</f>
        <v/>
      </c>
      <c r="I129" s="103" t="str">
        <f t="shared" si="1"/>
        <v/>
      </c>
      <c r="L129">
        <v>1</v>
      </c>
    </row>
    <row r="130" spans="1:12" ht="15" customHeight="1" x14ac:dyDescent="0.35">
      <c r="A130" t="str">
        <f>IF($B130="","",COUNTA($B$2:$B130))</f>
        <v/>
      </c>
      <c r="C130" t="str">
        <f>IF($B130="","",IFERROR(VLOOKUP($B130,[1]Employees!$A$2:$D$4801,2,FALSE()),"⚠ add to Employees"))</f>
        <v/>
      </c>
      <c r="D130" t="str">
        <f>IF($B130="","",IFERROR(VLOOKUP($B130,[1]Employees!$A$2:$D$4801,3,FALSE()),""))</f>
        <v/>
      </c>
      <c r="I130" s="103" t="str">
        <f t="shared" ref="I130:I193" si="2">IF($H130="","",DATE(YEAR($H130),MONTH($H130),1))</f>
        <v/>
      </c>
      <c r="L130">
        <v>1</v>
      </c>
    </row>
    <row r="131" spans="1:12" ht="15" customHeight="1" x14ac:dyDescent="0.35">
      <c r="A131" t="str">
        <f>IF($B131="","",COUNTA($B$2:$B131))</f>
        <v/>
      </c>
      <c r="C131" t="str">
        <f>IF($B131="","",IFERROR(VLOOKUP($B131,[1]Employees!$A$2:$D$4801,2,FALSE()),"⚠ add to Employees"))</f>
        <v/>
      </c>
      <c r="D131" t="str">
        <f>IF($B131="","",IFERROR(VLOOKUP($B131,[1]Employees!$A$2:$D$4801,3,FALSE()),""))</f>
        <v/>
      </c>
      <c r="I131" s="103" t="str">
        <f t="shared" si="2"/>
        <v/>
      </c>
      <c r="L131">
        <v>1</v>
      </c>
    </row>
    <row r="132" spans="1:12" ht="15" customHeight="1" x14ac:dyDescent="0.35">
      <c r="A132" t="str">
        <f>IF($B132="","",COUNTA($B$2:$B132))</f>
        <v/>
      </c>
      <c r="C132" t="str">
        <f>IF($B132="","",IFERROR(VLOOKUP($B132,[1]Employees!$A$2:$D$4801,2,FALSE()),"⚠ add to Employees"))</f>
        <v/>
      </c>
      <c r="D132" t="str">
        <f>IF($B132="","",IFERROR(VLOOKUP($B132,[1]Employees!$A$2:$D$4801,3,FALSE()),""))</f>
        <v/>
      </c>
      <c r="I132" s="103" t="str">
        <f t="shared" si="2"/>
        <v/>
      </c>
      <c r="L132">
        <v>1</v>
      </c>
    </row>
    <row r="133" spans="1:12" ht="15" customHeight="1" x14ac:dyDescent="0.35">
      <c r="A133" t="str">
        <f>IF($B133="","",COUNTA($B$2:$B133))</f>
        <v/>
      </c>
      <c r="C133" t="str">
        <f>IF($B133="","",IFERROR(VLOOKUP($B133,[1]Employees!$A$2:$D$4801,2,FALSE()),"⚠ add to Employees"))</f>
        <v/>
      </c>
      <c r="D133" t="str">
        <f>IF($B133="","",IFERROR(VLOOKUP($B133,[1]Employees!$A$2:$D$4801,3,FALSE()),""))</f>
        <v/>
      </c>
      <c r="I133" s="103" t="str">
        <f t="shared" si="2"/>
        <v/>
      </c>
      <c r="L133">
        <v>1</v>
      </c>
    </row>
    <row r="134" spans="1:12" ht="15" customHeight="1" x14ac:dyDescent="0.35">
      <c r="A134" t="str">
        <f>IF($B134="","",COUNTA($B$2:$B134))</f>
        <v/>
      </c>
      <c r="C134" t="str">
        <f>IF($B134="","",IFERROR(VLOOKUP($B134,[1]Employees!$A$2:$D$4801,2,FALSE()),"⚠ add to Employees"))</f>
        <v/>
      </c>
      <c r="D134" t="str">
        <f>IF($B134="","",IFERROR(VLOOKUP($B134,[1]Employees!$A$2:$D$4801,3,FALSE()),""))</f>
        <v/>
      </c>
      <c r="I134" s="103" t="str">
        <f t="shared" si="2"/>
        <v/>
      </c>
      <c r="L134">
        <v>1</v>
      </c>
    </row>
    <row r="135" spans="1:12" ht="15" customHeight="1" x14ac:dyDescent="0.35">
      <c r="A135" t="str">
        <f>IF($B135="","",COUNTA($B$2:$B135))</f>
        <v/>
      </c>
      <c r="C135" t="str">
        <f>IF($B135="","",IFERROR(VLOOKUP($B135,[1]Employees!$A$2:$D$4801,2,FALSE()),"⚠ add to Employees"))</f>
        <v/>
      </c>
      <c r="D135" t="str">
        <f>IF($B135="","",IFERROR(VLOOKUP($B135,[1]Employees!$A$2:$D$4801,3,FALSE()),""))</f>
        <v/>
      </c>
      <c r="I135" s="103" t="str">
        <f t="shared" si="2"/>
        <v/>
      </c>
      <c r="L135">
        <v>1</v>
      </c>
    </row>
    <row r="136" spans="1:12" ht="15" customHeight="1" x14ac:dyDescent="0.35">
      <c r="A136" t="str">
        <f>IF($B136="","",COUNTA($B$2:$B136))</f>
        <v/>
      </c>
      <c r="C136" t="str">
        <f>IF($B136="","",IFERROR(VLOOKUP($B136,[1]Employees!$A$2:$D$4801,2,FALSE()),"⚠ add to Employees"))</f>
        <v/>
      </c>
      <c r="D136" t="str">
        <f>IF($B136="","",IFERROR(VLOOKUP($B136,[1]Employees!$A$2:$D$4801,3,FALSE()),""))</f>
        <v/>
      </c>
      <c r="I136" s="103" t="str">
        <f t="shared" si="2"/>
        <v/>
      </c>
      <c r="L136">
        <v>1</v>
      </c>
    </row>
    <row r="137" spans="1:12" ht="15" customHeight="1" x14ac:dyDescent="0.35">
      <c r="A137" t="str">
        <f>IF($B137="","",COUNTA($B$2:$B137))</f>
        <v/>
      </c>
      <c r="C137" t="str">
        <f>IF($B137="","",IFERROR(VLOOKUP($B137,[1]Employees!$A$2:$D$4801,2,FALSE()),"⚠ add to Employees"))</f>
        <v/>
      </c>
      <c r="D137" t="str">
        <f>IF($B137="","",IFERROR(VLOOKUP($B137,[1]Employees!$A$2:$D$4801,3,FALSE()),""))</f>
        <v/>
      </c>
      <c r="I137" s="103" t="str">
        <f t="shared" si="2"/>
        <v/>
      </c>
      <c r="L137">
        <v>1</v>
      </c>
    </row>
    <row r="138" spans="1:12" ht="15" customHeight="1" x14ac:dyDescent="0.35">
      <c r="A138" t="str">
        <f>IF($B138="","",COUNTA($B$2:$B138))</f>
        <v/>
      </c>
      <c r="C138" t="str">
        <f>IF($B138="","",IFERROR(VLOOKUP($B138,[1]Employees!$A$2:$D$4801,2,FALSE()),"⚠ add to Employees"))</f>
        <v/>
      </c>
      <c r="D138" t="str">
        <f>IF($B138="","",IFERROR(VLOOKUP($B138,[1]Employees!$A$2:$D$4801,3,FALSE()),""))</f>
        <v/>
      </c>
      <c r="I138" s="103" t="str">
        <f t="shared" si="2"/>
        <v/>
      </c>
      <c r="L138">
        <v>1</v>
      </c>
    </row>
    <row r="139" spans="1:12" ht="15" customHeight="1" x14ac:dyDescent="0.35">
      <c r="A139" t="str">
        <f>IF($B139="","",COUNTA($B$2:$B139))</f>
        <v/>
      </c>
      <c r="C139" t="str">
        <f>IF($B139="","",IFERROR(VLOOKUP($B139,[1]Employees!$A$2:$D$4801,2,FALSE()),"⚠ add to Employees"))</f>
        <v/>
      </c>
      <c r="D139" t="str">
        <f>IF($B139="","",IFERROR(VLOOKUP($B139,[1]Employees!$A$2:$D$4801,3,FALSE()),""))</f>
        <v/>
      </c>
      <c r="I139" s="103" t="str">
        <f t="shared" si="2"/>
        <v/>
      </c>
      <c r="L139">
        <v>1</v>
      </c>
    </row>
    <row r="140" spans="1:12" ht="15" customHeight="1" x14ac:dyDescent="0.35">
      <c r="A140" t="str">
        <f>IF($B140="","",COUNTA($B$2:$B140))</f>
        <v/>
      </c>
      <c r="C140" t="str">
        <f>IF($B140="","",IFERROR(VLOOKUP($B140,[1]Employees!$A$2:$D$4801,2,FALSE()),"⚠ add to Employees"))</f>
        <v/>
      </c>
      <c r="D140" t="str">
        <f>IF($B140="","",IFERROR(VLOOKUP($B140,[1]Employees!$A$2:$D$4801,3,FALSE()),""))</f>
        <v/>
      </c>
      <c r="I140" s="103" t="str">
        <f t="shared" si="2"/>
        <v/>
      </c>
      <c r="L140">
        <v>1</v>
      </c>
    </row>
    <row r="141" spans="1:12" ht="15" customHeight="1" x14ac:dyDescent="0.35">
      <c r="A141" t="str">
        <f>IF($B141="","",COUNTA($B$2:$B141))</f>
        <v/>
      </c>
      <c r="C141" t="str">
        <f>IF($B141="","",IFERROR(VLOOKUP($B141,[1]Employees!$A$2:$D$4801,2,FALSE()),"⚠ add to Employees"))</f>
        <v/>
      </c>
      <c r="D141" t="str">
        <f>IF($B141="","",IFERROR(VLOOKUP($B141,[1]Employees!$A$2:$D$4801,3,FALSE()),""))</f>
        <v/>
      </c>
      <c r="I141" s="103" t="str">
        <f t="shared" si="2"/>
        <v/>
      </c>
      <c r="L141">
        <v>1</v>
      </c>
    </row>
    <row r="142" spans="1:12" ht="15" customHeight="1" x14ac:dyDescent="0.35">
      <c r="A142" t="str">
        <f>IF($B142="","",COUNTA($B$2:$B142))</f>
        <v/>
      </c>
      <c r="C142" t="str">
        <f>IF($B142="","",IFERROR(VLOOKUP($B142,[1]Employees!$A$2:$D$4801,2,FALSE()),"⚠ add to Employees"))</f>
        <v/>
      </c>
      <c r="D142" t="str">
        <f>IF($B142="","",IFERROR(VLOOKUP($B142,[1]Employees!$A$2:$D$4801,3,FALSE()),""))</f>
        <v/>
      </c>
      <c r="I142" s="103" t="str">
        <f t="shared" si="2"/>
        <v/>
      </c>
      <c r="L142">
        <v>1</v>
      </c>
    </row>
    <row r="143" spans="1:12" ht="15" customHeight="1" x14ac:dyDescent="0.35">
      <c r="A143" t="str">
        <f>IF($B143="","",COUNTA($B$2:$B143))</f>
        <v/>
      </c>
      <c r="C143" t="str">
        <f>IF($B143="","",IFERROR(VLOOKUP($B143,[1]Employees!$A$2:$D$4801,2,FALSE()),"⚠ add to Employees"))</f>
        <v/>
      </c>
      <c r="D143" t="str">
        <f>IF($B143="","",IFERROR(VLOOKUP($B143,[1]Employees!$A$2:$D$4801,3,FALSE()),""))</f>
        <v/>
      </c>
      <c r="I143" s="103" t="str">
        <f t="shared" si="2"/>
        <v/>
      </c>
      <c r="L143">
        <v>1</v>
      </c>
    </row>
    <row r="144" spans="1:12" ht="15" customHeight="1" x14ac:dyDescent="0.35">
      <c r="A144" t="str">
        <f>IF($B144="","",COUNTA($B$2:$B144))</f>
        <v/>
      </c>
      <c r="C144" t="str">
        <f>IF($B144="","",IFERROR(VLOOKUP($B144,[1]Employees!$A$2:$D$4801,2,FALSE()),"⚠ add to Employees"))</f>
        <v/>
      </c>
      <c r="D144" t="str">
        <f>IF($B144="","",IFERROR(VLOOKUP($B144,[1]Employees!$A$2:$D$4801,3,FALSE()),""))</f>
        <v/>
      </c>
      <c r="I144" s="103" t="str">
        <f t="shared" si="2"/>
        <v/>
      </c>
      <c r="L144">
        <v>1</v>
      </c>
    </row>
    <row r="145" spans="1:12" ht="15" customHeight="1" x14ac:dyDescent="0.35">
      <c r="A145" t="str">
        <f>IF($B145="","",COUNTA($B$2:$B145))</f>
        <v/>
      </c>
      <c r="C145" t="str">
        <f>IF($B145="","",IFERROR(VLOOKUP($B145,[1]Employees!$A$2:$D$4801,2,FALSE()),"⚠ add to Employees"))</f>
        <v/>
      </c>
      <c r="D145" t="str">
        <f>IF($B145="","",IFERROR(VLOOKUP($B145,[1]Employees!$A$2:$D$4801,3,FALSE()),""))</f>
        <v/>
      </c>
      <c r="I145" s="103" t="str">
        <f t="shared" si="2"/>
        <v/>
      </c>
      <c r="L145">
        <v>1</v>
      </c>
    </row>
    <row r="146" spans="1:12" ht="15" customHeight="1" x14ac:dyDescent="0.35">
      <c r="A146" t="str">
        <f>IF($B146="","",COUNTA($B$2:$B146))</f>
        <v/>
      </c>
      <c r="C146" t="str">
        <f>IF($B146="","",IFERROR(VLOOKUP($B146,[1]Employees!$A$2:$D$4801,2,FALSE()),"⚠ add to Employees"))</f>
        <v/>
      </c>
      <c r="D146" t="str">
        <f>IF($B146="","",IFERROR(VLOOKUP($B146,[1]Employees!$A$2:$D$4801,3,FALSE()),""))</f>
        <v/>
      </c>
      <c r="I146" s="103" t="str">
        <f t="shared" si="2"/>
        <v/>
      </c>
      <c r="L146">
        <v>1</v>
      </c>
    </row>
    <row r="147" spans="1:12" ht="15" customHeight="1" x14ac:dyDescent="0.35">
      <c r="A147" t="str">
        <f>IF($B147="","",COUNTA($B$2:$B147))</f>
        <v/>
      </c>
      <c r="C147" t="str">
        <f>IF($B147="","",IFERROR(VLOOKUP($B147,[1]Employees!$A$2:$D$4801,2,FALSE()),"⚠ add to Employees"))</f>
        <v/>
      </c>
      <c r="D147" t="str">
        <f>IF($B147="","",IFERROR(VLOOKUP($B147,[1]Employees!$A$2:$D$4801,3,FALSE()),""))</f>
        <v/>
      </c>
      <c r="I147" s="103" t="str">
        <f t="shared" si="2"/>
        <v/>
      </c>
      <c r="L147">
        <v>1</v>
      </c>
    </row>
    <row r="148" spans="1:12" ht="15" customHeight="1" x14ac:dyDescent="0.35">
      <c r="A148" t="str">
        <f>IF($B148="","",COUNTA($B$2:$B148))</f>
        <v/>
      </c>
      <c r="C148" t="str">
        <f>IF($B148="","",IFERROR(VLOOKUP($B148,[1]Employees!$A$2:$D$4801,2,FALSE()),"⚠ add to Employees"))</f>
        <v/>
      </c>
      <c r="D148" t="str">
        <f>IF($B148="","",IFERROR(VLOOKUP($B148,[1]Employees!$A$2:$D$4801,3,FALSE()),""))</f>
        <v/>
      </c>
      <c r="I148" s="103" t="str">
        <f t="shared" si="2"/>
        <v/>
      </c>
      <c r="L148">
        <v>1</v>
      </c>
    </row>
    <row r="149" spans="1:12" ht="15" customHeight="1" x14ac:dyDescent="0.35">
      <c r="A149" t="str">
        <f>IF($B149="","",COUNTA($B$2:$B149))</f>
        <v/>
      </c>
      <c r="C149" t="str">
        <f>IF($B149="","",IFERROR(VLOOKUP($B149,[1]Employees!$A$2:$D$4801,2,FALSE()),"⚠ add to Employees"))</f>
        <v/>
      </c>
      <c r="D149" t="str">
        <f>IF($B149="","",IFERROR(VLOOKUP($B149,[1]Employees!$A$2:$D$4801,3,FALSE()),""))</f>
        <v/>
      </c>
      <c r="I149" s="103" t="str">
        <f t="shared" si="2"/>
        <v/>
      </c>
      <c r="L149">
        <v>1</v>
      </c>
    </row>
    <row r="150" spans="1:12" ht="15" customHeight="1" x14ac:dyDescent="0.35">
      <c r="A150" t="str">
        <f>IF($B150="","",COUNTA($B$2:$B150))</f>
        <v/>
      </c>
      <c r="C150" t="str">
        <f>IF($B150="","",IFERROR(VLOOKUP($B150,[1]Employees!$A$2:$D$4801,2,FALSE()),"⚠ add to Employees"))</f>
        <v/>
      </c>
      <c r="D150" t="str">
        <f>IF($B150="","",IFERROR(VLOOKUP($B150,[1]Employees!$A$2:$D$4801,3,FALSE()),""))</f>
        <v/>
      </c>
      <c r="I150" s="103" t="str">
        <f t="shared" si="2"/>
        <v/>
      </c>
      <c r="L150">
        <v>1</v>
      </c>
    </row>
    <row r="151" spans="1:12" ht="15" customHeight="1" x14ac:dyDescent="0.35">
      <c r="A151" t="str">
        <f>IF($B151="","",COUNTA($B$2:$B151))</f>
        <v/>
      </c>
      <c r="C151" t="str">
        <f>IF($B151="","",IFERROR(VLOOKUP($B151,[1]Employees!$A$2:$D$4801,2,FALSE()),"⚠ add to Employees"))</f>
        <v/>
      </c>
      <c r="D151" t="str">
        <f>IF($B151="","",IFERROR(VLOOKUP($B151,[1]Employees!$A$2:$D$4801,3,FALSE()),""))</f>
        <v/>
      </c>
      <c r="I151" s="103" t="str">
        <f t="shared" si="2"/>
        <v/>
      </c>
      <c r="L151">
        <v>1</v>
      </c>
    </row>
    <row r="152" spans="1:12" ht="15" customHeight="1" x14ac:dyDescent="0.35">
      <c r="A152" t="str">
        <f>IF($B152="","",COUNTA($B$2:$B152))</f>
        <v/>
      </c>
      <c r="C152" t="str">
        <f>IF($B152="","",IFERROR(VLOOKUP($B152,[1]Employees!$A$2:$D$4801,2,FALSE()),"⚠ add to Employees"))</f>
        <v/>
      </c>
      <c r="D152" t="str">
        <f>IF($B152="","",IFERROR(VLOOKUP($B152,[1]Employees!$A$2:$D$4801,3,FALSE()),""))</f>
        <v/>
      </c>
      <c r="I152" s="103" t="str">
        <f t="shared" si="2"/>
        <v/>
      </c>
      <c r="L152">
        <v>1</v>
      </c>
    </row>
    <row r="153" spans="1:12" ht="15" customHeight="1" x14ac:dyDescent="0.35">
      <c r="A153" t="str">
        <f>IF($B153="","",COUNTA($B$2:$B153))</f>
        <v/>
      </c>
      <c r="C153" t="str">
        <f>IF($B153="","",IFERROR(VLOOKUP($B153,[1]Employees!$A$2:$D$4801,2,FALSE()),"⚠ add to Employees"))</f>
        <v/>
      </c>
      <c r="D153" t="str">
        <f>IF($B153="","",IFERROR(VLOOKUP($B153,[1]Employees!$A$2:$D$4801,3,FALSE()),""))</f>
        <v/>
      </c>
      <c r="I153" s="103" t="str">
        <f t="shared" si="2"/>
        <v/>
      </c>
      <c r="L153">
        <v>1</v>
      </c>
    </row>
    <row r="154" spans="1:12" ht="15" customHeight="1" x14ac:dyDescent="0.35">
      <c r="A154" t="str">
        <f>IF($B154="","",COUNTA($B$2:$B154))</f>
        <v/>
      </c>
      <c r="C154" t="str">
        <f>IF($B154="","",IFERROR(VLOOKUP($B154,[1]Employees!$A$2:$D$4801,2,FALSE()),"⚠ add to Employees"))</f>
        <v/>
      </c>
      <c r="D154" t="str">
        <f>IF($B154="","",IFERROR(VLOOKUP($B154,[1]Employees!$A$2:$D$4801,3,FALSE()),""))</f>
        <v/>
      </c>
      <c r="I154" s="103" t="str">
        <f t="shared" si="2"/>
        <v/>
      </c>
      <c r="L154">
        <v>1</v>
      </c>
    </row>
    <row r="155" spans="1:12" ht="15" customHeight="1" x14ac:dyDescent="0.35">
      <c r="A155" t="str">
        <f>IF($B155="","",COUNTA($B$2:$B155))</f>
        <v/>
      </c>
      <c r="C155" t="str">
        <f>IF($B155="","",IFERROR(VLOOKUP($B155,[1]Employees!$A$2:$D$4801,2,FALSE()),"⚠ add to Employees"))</f>
        <v/>
      </c>
      <c r="D155" t="str">
        <f>IF($B155="","",IFERROR(VLOOKUP($B155,[1]Employees!$A$2:$D$4801,3,FALSE()),""))</f>
        <v/>
      </c>
      <c r="I155" s="103" t="str">
        <f t="shared" si="2"/>
        <v/>
      </c>
      <c r="L155">
        <v>1</v>
      </c>
    </row>
    <row r="156" spans="1:12" ht="15" customHeight="1" x14ac:dyDescent="0.35">
      <c r="A156" t="str">
        <f>IF($B156="","",COUNTA($B$2:$B156))</f>
        <v/>
      </c>
      <c r="C156" t="str">
        <f>IF($B156="","",IFERROR(VLOOKUP($B156,[1]Employees!$A$2:$D$4801,2,FALSE()),"⚠ add to Employees"))</f>
        <v/>
      </c>
      <c r="D156" t="str">
        <f>IF($B156="","",IFERROR(VLOOKUP($B156,[1]Employees!$A$2:$D$4801,3,FALSE()),""))</f>
        <v/>
      </c>
      <c r="I156" s="103" t="str">
        <f t="shared" si="2"/>
        <v/>
      </c>
      <c r="L156">
        <v>1</v>
      </c>
    </row>
    <row r="157" spans="1:12" ht="15" customHeight="1" x14ac:dyDescent="0.35">
      <c r="A157" t="str">
        <f>IF($B157="","",COUNTA($B$2:$B157))</f>
        <v/>
      </c>
      <c r="C157" t="str">
        <f>IF($B157="","",IFERROR(VLOOKUP($B157,[1]Employees!$A$2:$D$4801,2,FALSE()),"⚠ add to Employees"))</f>
        <v/>
      </c>
      <c r="D157" t="str">
        <f>IF($B157="","",IFERROR(VLOOKUP($B157,[1]Employees!$A$2:$D$4801,3,FALSE()),""))</f>
        <v/>
      </c>
      <c r="I157" s="103" t="str">
        <f t="shared" si="2"/>
        <v/>
      </c>
      <c r="L157">
        <v>1</v>
      </c>
    </row>
    <row r="158" spans="1:12" ht="15" customHeight="1" x14ac:dyDescent="0.35">
      <c r="A158" t="str">
        <f>IF($B158="","",COUNTA($B$2:$B158))</f>
        <v/>
      </c>
      <c r="C158" t="str">
        <f>IF($B158="","",IFERROR(VLOOKUP($B158,[1]Employees!$A$2:$D$4801,2,FALSE()),"⚠ add to Employees"))</f>
        <v/>
      </c>
      <c r="D158" t="str">
        <f>IF($B158="","",IFERROR(VLOOKUP($B158,[1]Employees!$A$2:$D$4801,3,FALSE()),""))</f>
        <v/>
      </c>
      <c r="I158" s="103" t="str">
        <f t="shared" si="2"/>
        <v/>
      </c>
      <c r="L158">
        <v>1</v>
      </c>
    </row>
    <row r="159" spans="1:12" ht="15" customHeight="1" x14ac:dyDescent="0.35">
      <c r="A159" t="str">
        <f>IF($B159="","",COUNTA($B$2:$B159))</f>
        <v/>
      </c>
      <c r="C159" t="str">
        <f>IF($B159="","",IFERROR(VLOOKUP($B159,[1]Employees!$A$2:$D$4801,2,FALSE()),"⚠ add to Employees"))</f>
        <v/>
      </c>
      <c r="D159" t="str">
        <f>IF($B159="","",IFERROR(VLOOKUP($B159,[1]Employees!$A$2:$D$4801,3,FALSE()),""))</f>
        <v/>
      </c>
      <c r="I159" s="103" t="str">
        <f t="shared" si="2"/>
        <v/>
      </c>
      <c r="L159">
        <v>1</v>
      </c>
    </row>
    <row r="160" spans="1:12" ht="15" customHeight="1" x14ac:dyDescent="0.35">
      <c r="A160" t="str">
        <f>IF($B160="","",COUNTA($B$2:$B160))</f>
        <v/>
      </c>
      <c r="C160" t="str">
        <f>IF($B160="","",IFERROR(VLOOKUP($B160,[1]Employees!$A$2:$D$4801,2,FALSE()),"⚠ add to Employees"))</f>
        <v/>
      </c>
      <c r="D160" t="str">
        <f>IF($B160="","",IFERROR(VLOOKUP($B160,[1]Employees!$A$2:$D$4801,3,FALSE()),""))</f>
        <v/>
      </c>
      <c r="I160" s="103" t="str">
        <f t="shared" si="2"/>
        <v/>
      </c>
      <c r="L160">
        <v>1</v>
      </c>
    </row>
    <row r="161" spans="1:12" ht="15" customHeight="1" x14ac:dyDescent="0.35">
      <c r="A161" t="str">
        <f>IF($B161="","",COUNTA($B$2:$B161))</f>
        <v/>
      </c>
      <c r="C161" t="str">
        <f>IF($B161="","",IFERROR(VLOOKUP($B161,[1]Employees!$A$2:$D$4801,2,FALSE()),"⚠ add to Employees"))</f>
        <v/>
      </c>
      <c r="D161" t="str">
        <f>IF($B161="","",IFERROR(VLOOKUP($B161,[1]Employees!$A$2:$D$4801,3,FALSE()),""))</f>
        <v/>
      </c>
      <c r="I161" s="103" t="str">
        <f t="shared" si="2"/>
        <v/>
      </c>
      <c r="L161">
        <v>1</v>
      </c>
    </row>
    <row r="162" spans="1:12" ht="15" customHeight="1" x14ac:dyDescent="0.35">
      <c r="A162" t="str">
        <f>IF($B162="","",COUNTA($B$2:$B162))</f>
        <v/>
      </c>
      <c r="C162" t="str">
        <f>IF($B162="","",IFERROR(VLOOKUP($B162,[1]Employees!$A$2:$D$4801,2,FALSE()),"⚠ add to Employees"))</f>
        <v/>
      </c>
      <c r="D162" t="str">
        <f>IF($B162="","",IFERROR(VLOOKUP($B162,[1]Employees!$A$2:$D$4801,3,FALSE()),""))</f>
        <v/>
      </c>
      <c r="I162" s="103" t="str">
        <f t="shared" si="2"/>
        <v/>
      </c>
      <c r="L162">
        <v>1</v>
      </c>
    </row>
    <row r="163" spans="1:12" ht="15" customHeight="1" x14ac:dyDescent="0.35">
      <c r="A163" t="str">
        <f>IF($B163="","",COUNTA($B$2:$B163))</f>
        <v/>
      </c>
      <c r="C163" t="str">
        <f>IF($B163="","",IFERROR(VLOOKUP($B163,[1]Employees!$A$2:$D$4801,2,FALSE()),"⚠ add to Employees"))</f>
        <v/>
      </c>
      <c r="D163" t="str">
        <f>IF($B163="","",IFERROR(VLOOKUP($B163,[1]Employees!$A$2:$D$4801,3,FALSE()),""))</f>
        <v/>
      </c>
      <c r="I163" s="103" t="str">
        <f t="shared" si="2"/>
        <v/>
      </c>
      <c r="L163">
        <v>1</v>
      </c>
    </row>
    <row r="164" spans="1:12" ht="15" customHeight="1" x14ac:dyDescent="0.35">
      <c r="A164" t="str">
        <f>IF($B164="","",COUNTA($B$2:$B164))</f>
        <v/>
      </c>
      <c r="C164" t="str">
        <f>IF($B164="","",IFERROR(VLOOKUP($B164,[1]Employees!$A$2:$D$4801,2,FALSE()),"⚠ add to Employees"))</f>
        <v/>
      </c>
      <c r="D164" t="str">
        <f>IF($B164="","",IFERROR(VLOOKUP($B164,[1]Employees!$A$2:$D$4801,3,FALSE()),""))</f>
        <v/>
      </c>
      <c r="I164" s="103" t="str">
        <f t="shared" si="2"/>
        <v/>
      </c>
      <c r="L164">
        <v>1</v>
      </c>
    </row>
    <row r="165" spans="1:12" ht="15" customHeight="1" x14ac:dyDescent="0.35">
      <c r="A165" t="str">
        <f>IF($B165="","",COUNTA($B$2:$B165))</f>
        <v/>
      </c>
      <c r="C165" t="str">
        <f>IF($B165="","",IFERROR(VLOOKUP($B165,[1]Employees!$A$2:$D$4801,2,FALSE()),"⚠ add to Employees"))</f>
        <v/>
      </c>
      <c r="D165" t="str">
        <f>IF($B165="","",IFERROR(VLOOKUP($B165,[1]Employees!$A$2:$D$4801,3,FALSE()),""))</f>
        <v/>
      </c>
      <c r="I165" s="103" t="str">
        <f t="shared" si="2"/>
        <v/>
      </c>
      <c r="L165">
        <v>1</v>
      </c>
    </row>
    <row r="166" spans="1:12" ht="15" customHeight="1" x14ac:dyDescent="0.35">
      <c r="A166" t="str">
        <f>IF($B166="","",COUNTA($B$2:$B166))</f>
        <v/>
      </c>
      <c r="C166" t="str">
        <f>IF($B166="","",IFERROR(VLOOKUP($B166,[1]Employees!$A$2:$D$4801,2,FALSE()),"⚠ add to Employees"))</f>
        <v/>
      </c>
      <c r="D166" t="str">
        <f>IF($B166="","",IFERROR(VLOOKUP($B166,[1]Employees!$A$2:$D$4801,3,FALSE()),""))</f>
        <v/>
      </c>
      <c r="I166" s="103" t="str">
        <f t="shared" si="2"/>
        <v/>
      </c>
      <c r="L166">
        <v>1</v>
      </c>
    </row>
    <row r="167" spans="1:12" ht="15" customHeight="1" x14ac:dyDescent="0.35">
      <c r="A167" t="str">
        <f>IF($B167="","",COUNTA($B$2:$B167))</f>
        <v/>
      </c>
      <c r="C167" t="str">
        <f>IF($B167="","",IFERROR(VLOOKUP($B167,[1]Employees!$A$2:$D$4801,2,FALSE()),"⚠ add to Employees"))</f>
        <v/>
      </c>
      <c r="D167" t="str">
        <f>IF($B167="","",IFERROR(VLOOKUP($B167,[1]Employees!$A$2:$D$4801,3,FALSE()),""))</f>
        <v/>
      </c>
      <c r="I167" s="103" t="str">
        <f t="shared" si="2"/>
        <v/>
      </c>
      <c r="L167">
        <v>1</v>
      </c>
    </row>
    <row r="168" spans="1:12" ht="15" customHeight="1" x14ac:dyDescent="0.35">
      <c r="A168" t="str">
        <f>IF($B168="","",COUNTA($B$2:$B168))</f>
        <v/>
      </c>
      <c r="C168" t="str">
        <f>IF($B168="","",IFERROR(VLOOKUP($B168,[1]Employees!$A$2:$D$4801,2,FALSE()),"⚠ add to Employees"))</f>
        <v/>
      </c>
      <c r="D168" t="str">
        <f>IF($B168="","",IFERROR(VLOOKUP($B168,[1]Employees!$A$2:$D$4801,3,FALSE()),""))</f>
        <v/>
      </c>
      <c r="I168" s="103" t="str">
        <f t="shared" si="2"/>
        <v/>
      </c>
      <c r="L168">
        <v>1</v>
      </c>
    </row>
    <row r="169" spans="1:12" ht="15" customHeight="1" x14ac:dyDescent="0.35">
      <c r="A169" t="str">
        <f>IF($B169="","",COUNTA($B$2:$B169))</f>
        <v/>
      </c>
      <c r="C169" t="str">
        <f>IF($B169="","",IFERROR(VLOOKUP($B169,[1]Employees!$A$2:$D$4801,2,FALSE()),"⚠ add to Employees"))</f>
        <v/>
      </c>
      <c r="D169" t="str">
        <f>IF($B169="","",IFERROR(VLOOKUP($B169,[1]Employees!$A$2:$D$4801,3,FALSE()),""))</f>
        <v/>
      </c>
      <c r="I169" s="103" t="str">
        <f t="shared" si="2"/>
        <v/>
      </c>
      <c r="L169">
        <v>1</v>
      </c>
    </row>
    <row r="170" spans="1:12" ht="15" customHeight="1" x14ac:dyDescent="0.35">
      <c r="A170" t="str">
        <f>IF($B170="","",COUNTA($B$2:$B170))</f>
        <v/>
      </c>
      <c r="C170" t="str">
        <f>IF($B170="","",IFERROR(VLOOKUP($B170,[1]Employees!$A$2:$D$4801,2,FALSE()),"⚠ add to Employees"))</f>
        <v/>
      </c>
      <c r="D170" t="str">
        <f>IF($B170="","",IFERROR(VLOOKUP($B170,[1]Employees!$A$2:$D$4801,3,FALSE()),""))</f>
        <v/>
      </c>
      <c r="I170" s="103" t="str">
        <f t="shared" si="2"/>
        <v/>
      </c>
      <c r="L170">
        <v>1</v>
      </c>
    </row>
    <row r="171" spans="1:12" ht="15" customHeight="1" x14ac:dyDescent="0.35">
      <c r="A171" t="str">
        <f>IF($B171="","",COUNTA($B$2:$B171))</f>
        <v/>
      </c>
      <c r="C171" t="str">
        <f>IF($B171="","",IFERROR(VLOOKUP($B171,[1]Employees!$A$2:$D$4801,2,FALSE()),"⚠ add to Employees"))</f>
        <v/>
      </c>
      <c r="D171" t="str">
        <f>IF($B171="","",IFERROR(VLOOKUP($B171,[1]Employees!$A$2:$D$4801,3,FALSE()),""))</f>
        <v/>
      </c>
      <c r="I171" s="103" t="str">
        <f t="shared" si="2"/>
        <v/>
      </c>
      <c r="L171">
        <v>1</v>
      </c>
    </row>
    <row r="172" spans="1:12" ht="15" customHeight="1" x14ac:dyDescent="0.35">
      <c r="A172" t="str">
        <f>IF($B172="","",COUNTA($B$2:$B172))</f>
        <v/>
      </c>
      <c r="C172" t="str">
        <f>IF($B172="","",IFERROR(VLOOKUP($B172,[1]Employees!$A$2:$D$4801,2,FALSE()),"⚠ add to Employees"))</f>
        <v/>
      </c>
      <c r="D172" t="str">
        <f>IF($B172="","",IFERROR(VLOOKUP($B172,[1]Employees!$A$2:$D$4801,3,FALSE()),""))</f>
        <v/>
      </c>
      <c r="I172" s="103" t="str">
        <f t="shared" si="2"/>
        <v/>
      </c>
      <c r="L172">
        <v>1</v>
      </c>
    </row>
    <row r="173" spans="1:12" ht="15" customHeight="1" x14ac:dyDescent="0.35">
      <c r="A173" t="str">
        <f>IF($B173="","",COUNTA($B$2:$B173))</f>
        <v/>
      </c>
      <c r="C173" t="str">
        <f>IF($B173="","",IFERROR(VLOOKUP($B173,[1]Employees!$A$2:$D$4801,2,FALSE()),"⚠ add to Employees"))</f>
        <v/>
      </c>
      <c r="D173" t="str">
        <f>IF($B173="","",IFERROR(VLOOKUP($B173,[1]Employees!$A$2:$D$4801,3,FALSE()),""))</f>
        <v/>
      </c>
      <c r="I173" s="103" t="str">
        <f t="shared" si="2"/>
        <v/>
      </c>
      <c r="L173">
        <v>1</v>
      </c>
    </row>
    <row r="174" spans="1:12" ht="15" customHeight="1" x14ac:dyDescent="0.35">
      <c r="A174" t="str">
        <f>IF($B174="","",COUNTA($B$2:$B174))</f>
        <v/>
      </c>
      <c r="C174" t="str">
        <f>IF($B174="","",IFERROR(VLOOKUP($B174,[1]Employees!$A$2:$D$4801,2,FALSE()),"⚠ add to Employees"))</f>
        <v/>
      </c>
      <c r="D174" t="str">
        <f>IF($B174="","",IFERROR(VLOOKUP($B174,[1]Employees!$A$2:$D$4801,3,FALSE()),""))</f>
        <v/>
      </c>
      <c r="I174" s="103" t="str">
        <f t="shared" si="2"/>
        <v/>
      </c>
      <c r="L174">
        <v>1</v>
      </c>
    </row>
    <row r="175" spans="1:12" ht="15" customHeight="1" x14ac:dyDescent="0.35">
      <c r="A175" t="str">
        <f>IF($B175="","",COUNTA($B$2:$B175))</f>
        <v/>
      </c>
      <c r="C175" t="str">
        <f>IF($B175="","",IFERROR(VLOOKUP($B175,[1]Employees!$A$2:$D$4801,2,FALSE()),"⚠ add to Employees"))</f>
        <v/>
      </c>
      <c r="D175" t="str">
        <f>IF($B175="","",IFERROR(VLOOKUP($B175,[1]Employees!$A$2:$D$4801,3,FALSE()),""))</f>
        <v/>
      </c>
      <c r="I175" s="103" t="str">
        <f t="shared" si="2"/>
        <v/>
      </c>
      <c r="L175">
        <v>1</v>
      </c>
    </row>
    <row r="176" spans="1:12" ht="15" customHeight="1" x14ac:dyDescent="0.35">
      <c r="A176" t="str">
        <f>IF($B176="","",COUNTA($B$2:$B176))</f>
        <v/>
      </c>
      <c r="C176" t="str">
        <f>IF($B176="","",IFERROR(VLOOKUP($B176,[1]Employees!$A$2:$D$4801,2,FALSE()),"⚠ add to Employees"))</f>
        <v/>
      </c>
      <c r="D176" t="str">
        <f>IF($B176="","",IFERROR(VLOOKUP($B176,[1]Employees!$A$2:$D$4801,3,FALSE()),""))</f>
        <v/>
      </c>
      <c r="I176" s="103" t="str">
        <f t="shared" si="2"/>
        <v/>
      </c>
      <c r="L176">
        <v>1</v>
      </c>
    </row>
    <row r="177" spans="1:12" ht="15" customHeight="1" x14ac:dyDescent="0.35">
      <c r="A177" t="str">
        <f>IF($B177="","",COUNTA($B$2:$B177))</f>
        <v/>
      </c>
      <c r="C177" t="str">
        <f>IF($B177="","",IFERROR(VLOOKUP($B177,[1]Employees!$A$2:$D$4801,2,FALSE()),"⚠ add to Employees"))</f>
        <v/>
      </c>
      <c r="D177" t="str">
        <f>IF($B177="","",IFERROR(VLOOKUP($B177,[1]Employees!$A$2:$D$4801,3,FALSE()),""))</f>
        <v/>
      </c>
      <c r="I177" s="103" t="str">
        <f t="shared" si="2"/>
        <v/>
      </c>
      <c r="L177">
        <v>1</v>
      </c>
    </row>
    <row r="178" spans="1:12" ht="15" customHeight="1" x14ac:dyDescent="0.35">
      <c r="A178" t="str">
        <f>IF($B178="","",COUNTA($B$2:$B178))</f>
        <v/>
      </c>
      <c r="C178" t="str">
        <f>IF($B178="","",IFERROR(VLOOKUP($B178,[1]Employees!$A$2:$D$4801,2,FALSE()),"⚠ add to Employees"))</f>
        <v/>
      </c>
      <c r="D178" t="str">
        <f>IF($B178="","",IFERROR(VLOOKUP($B178,[1]Employees!$A$2:$D$4801,3,FALSE()),""))</f>
        <v/>
      </c>
      <c r="I178" s="103" t="str">
        <f t="shared" si="2"/>
        <v/>
      </c>
      <c r="L178">
        <v>1</v>
      </c>
    </row>
    <row r="179" spans="1:12" ht="15" customHeight="1" x14ac:dyDescent="0.35">
      <c r="A179" t="str">
        <f>IF($B179="","",COUNTA($B$2:$B179))</f>
        <v/>
      </c>
      <c r="C179" t="str">
        <f>IF($B179="","",IFERROR(VLOOKUP($B179,[1]Employees!$A$2:$D$4801,2,FALSE()),"⚠ add to Employees"))</f>
        <v/>
      </c>
      <c r="D179" t="str">
        <f>IF($B179="","",IFERROR(VLOOKUP($B179,[1]Employees!$A$2:$D$4801,3,FALSE()),""))</f>
        <v/>
      </c>
      <c r="I179" s="103" t="str">
        <f t="shared" si="2"/>
        <v/>
      </c>
      <c r="L179">
        <v>1</v>
      </c>
    </row>
    <row r="180" spans="1:12" ht="15" customHeight="1" x14ac:dyDescent="0.35">
      <c r="A180" t="str">
        <f>IF($B180="","",COUNTA($B$2:$B180))</f>
        <v/>
      </c>
      <c r="C180" t="str">
        <f>IF($B180="","",IFERROR(VLOOKUP($B180,[1]Employees!$A$2:$D$4801,2,FALSE()),"⚠ add to Employees"))</f>
        <v/>
      </c>
      <c r="D180" t="str">
        <f>IF($B180="","",IFERROR(VLOOKUP($B180,[1]Employees!$A$2:$D$4801,3,FALSE()),""))</f>
        <v/>
      </c>
      <c r="I180" s="103" t="str">
        <f t="shared" si="2"/>
        <v/>
      </c>
      <c r="L180">
        <v>1</v>
      </c>
    </row>
    <row r="181" spans="1:12" ht="15" customHeight="1" x14ac:dyDescent="0.35">
      <c r="A181" t="str">
        <f>IF($B181="","",COUNTA($B$2:$B181))</f>
        <v/>
      </c>
      <c r="C181" t="str">
        <f>IF($B181="","",IFERROR(VLOOKUP($B181,[1]Employees!$A$2:$D$4801,2,FALSE()),"⚠ add to Employees"))</f>
        <v/>
      </c>
      <c r="D181" t="str">
        <f>IF($B181="","",IFERROR(VLOOKUP($B181,[1]Employees!$A$2:$D$4801,3,FALSE()),""))</f>
        <v/>
      </c>
      <c r="I181" s="103" t="str">
        <f t="shared" si="2"/>
        <v/>
      </c>
      <c r="L181">
        <v>1</v>
      </c>
    </row>
    <row r="182" spans="1:12" ht="15" customHeight="1" x14ac:dyDescent="0.35">
      <c r="A182" t="str">
        <f>IF($B182="","",COUNTA($B$2:$B182))</f>
        <v/>
      </c>
      <c r="C182" t="str">
        <f>IF($B182="","",IFERROR(VLOOKUP($B182,[1]Employees!$A$2:$D$4801,2,FALSE()),"⚠ add to Employees"))</f>
        <v/>
      </c>
      <c r="D182" t="str">
        <f>IF($B182="","",IFERROR(VLOOKUP($B182,[1]Employees!$A$2:$D$4801,3,FALSE()),""))</f>
        <v/>
      </c>
      <c r="I182" s="103" t="str">
        <f t="shared" si="2"/>
        <v/>
      </c>
      <c r="L182">
        <v>1</v>
      </c>
    </row>
    <row r="183" spans="1:12" ht="15" customHeight="1" x14ac:dyDescent="0.35">
      <c r="A183" t="str">
        <f>IF($B183="","",COUNTA($B$2:$B183))</f>
        <v/>
      </c>
      <c r="C183" t="str">
        <f>IF($B183="","",IFERROR(VLOOKUP($B183,[1]Employees!$A$2:$D$4801,2,FALSE()),"⚠ add to Employees"))</f>
        <v/>
      </c>
      <c r="D183" t="str">
        <f>IF($B183="","",IFERROR(VLOOKUP($B183,[1]Employees!$A$2:$D$4801,3,FALSE()),""))</f>
        <v/>
      </c>
      <c r="I183" s="103" t="str">
        <f t="shared" si="2"/>
        <v/>
      </c>
      <c r="L183">
        <v>1</v>
      </c>
    </row>
    <row r="184" spans="1:12" ht="15" customHeight="1" x14ac:dyDescent="0.35">
      <c r="A184" t="str">
        <f>IF($B184="","",COUNTA($B$2:$B184))</f>
        <v/>
      </c>
      <c r="C184" t="str">
        <f>IF($B184="","",IFERROR(VLOOKUP($B184,[1]Employees!$A$2:$D$4801,2,FALSE()),"⚠ add to Employees"))</f>
        <v/>
      </c>
      <c r="D184" t="str">
        <f>IF($B184="","",IFERROR(VLOOKUP($B184,[1]Employees!$A$2:$D$4801,3,FALSE()),""))</f>
        <v/>
      </c>
      <c r="I184" s="103" t="str">
        <f t="shared" si="2"/>
        <v/>
      </c>
      <c r="L184">
        <v>1</v>
      </c>
    </row>
    <row r="185" spans="1:12" ht="15" customHeight="1" x14ac:dyDescent="0.35">
      <c r="A185" t="str">
        <f>IF($B185="","",COUNTA($B$2:$B185))</f>
        <v/>
      </c>
      <c r="C185" t="str">
        <f>IF($B185="","",IFERROR(VLOOKUP($B185,[1]Employees!$A$2:$D$4801,2,FALSE()),"⚠ add to Employees"))</f>
        <v/>
      </c>
      <c r="D185" t="str">
        <f>IF($B185="","",IFERROR(VLOOKUP($B185,[1]Employees!$A$2:$D$4801,3,FALSE()),""))</f>
        <v/>
      </c>
      <c r="I185" s="103" t="str">
        <f t="shared" si="2"/>
        <v/>
      </c>
      <c r="L185">
        <v>1</v>
      </c>
    </row>
    <row r="186" spans="1:12" ht="15" customHeight="1" x14ac:dyDescent="0.35">
      <c r="A186" t="str">
        <f>IF($B186="","",COUNTA($B$2:$B186))</f>
        <v/>
      </c>
      <c r="C186" t="str">
        <f>IF($B186="","",IFERROR(VLOOKUP($B186,[1]Employees!$A$2:$D$4801,2,FALSE()),"⚠ add to Employees"))</f>
        <v/>
      </c>
      <c r="D186" t="str">
        <f>IF($B186="","",IFERROR(VLOOKUP($B186,[1]Employees!$A$2:$D$4801,3,FALSE()),""))</f>
        <v/>
      </c>
      <c r="I186" s="103" t="str">
        <f t="shared" si="2"/>
        <v/>
      </c>
      <c r="L186">
        <v>1</v>
      </c>
    </row>
    <row r="187" spans="1:12" ht="15" customHeight="1" x14ac:dyDescent="0.35">
      <c r="A187" t="str">
        <f>IF($B187="","",COUNTA($B$2:$B187))</f>
        <v/>
      </c>
      <c r="C187" t="str">
        <f>IF($B187="","",IFERROR(VLOOKUP($B187,[1]Employees!$A$2:$D$4801,2,FALSE()),"⚠ add to Employees"))</f>
        <v/>
      </c>
      <c r="D187" t="str">
        <f>IF($B187="","",IFERROR(VLOOKUP($B187,[1]Employees!$A$2:$D$4801,3,FALSE()),""))</f>
        <v/>
      </c>
      <c r="I187" s="103" t="str">
        <f t="shared" si="2"/>
        <v/>
      </c>
      <c r="L187">
        <v>1</v>
      </c>
    </row>
    <row r="188" spans="1:12" ht="15" customHeight="1" x14ac:dyDescent="0.35">
      <c r="A188" t="str">
        <f>IF($B188="","",COUNTA($B$2:$B188))</f>
        <v/>
      </c>
      <c r="C188" t="str">
        <f>IF($B188="","",IFERROR(VLOOKUP($B188,[1]Employees!$A$2:$D$4801,2,FALSE()),"⚠ add to Employees"))</f>
        <v/>
      </c>
      <c r="D188" t="str">
        <f>IF($B188="","",IFERROR(VLOOKUP($B188,[1]Employees!$A$2:$D$4801,3,FALSE()),""))</f>
        <v/>
      </c>
      <c r="I188" s="103" t="str">
        <f t="shared" si="2"/>
        <v/>
      </c>
      <c r="L188">
        <v>1</v>
      </c>
    </row>
    <row r="189" spans="1:12" ht="15" customHeight="1" x14ac:dyDescent="0.35">
      <c r="A189" t="str">
        <f>IF($B189="","",COUNTA($B$2:$B189))</f>
        <v/>
      </c>
      <c r="C189" t="str">
        <f>IF($B189="","",IFERROR(VLOOKUP($B189,[1]Employees!$A$2:$D$4801,2,FALSE()),"⚠ add to Employees"))</f>
        <v/>
      </c>
      <c r="D189" t="str">
        <f>IF($B189="","",IFERROR(VLOOKUP($B189,[1]Employees!$A$2:$D$4801,3,FALSE()),""))</f>
        <v/>
      </c>
      <c r="I189" s="103" t="str">
        <f t="shared" si="2"/>
        <v/>
      </c>
      <c r="L189">
        <v>1</v>
      </c>
    </row>
    <row r="190" spans="1:12" ht="15" customHeight="1" x14ac:dyDescent="0.35">
      <c r="A190" t="str">
        <f>IF($B190="","",COUNTA($B$2:$B190))</f>
        <v/>
      </c>
      <c r="C190" t="str">
        <f>IF($B190="","",IFERROR(VLOOKUP($B190,[1]Employees!$A$2:$D$4801,2,FALSE()),"⚠ add to Employees"))</f>
        <v/>
      </c>
      <c r="D190" t="str">
        <f>IF($B190="","",IFERROR(VLOOKUP($B190,[1]Employees!$A$2:$D$4801,3,FALSE()),""))</f>
        <v/>
      </c>
      <c r="I190" s="103" t="str">
        <f t="shared" si="2"/>
        <v/>
      </c>
      <c r="L190">
        <v>1</v>
      </c>
    </row>
    <row r="191" spans="1:12" ht="15" customHeight="1" x14ac:dyDescent="0.35">
      <c r="A191" t="str">
        <f>IF($B191="","",COUNTA($B$2:$B191))</f>
        <v/>
      </c>
      <c r="C191" t="str">
        <f>IF($B191="","",IFERROR(VLOOKUP($B191,[1]Employees!$A$2:$D$4801,2,FALSE()),"⚠ add to Employees"))</f>
        <v/>
      </c>
      <c r="D191" t="str">
        <f>IF($B191="","",IFERROR(VLOOKUP($B191,[1]Employees!$A$2:$D$4801,3,FALSE()),""))</f>
        <v/>
      </c>
      <c r="I191" s="103" t="str">
        <f t="shared" si="2"/>
        <v/>
      </c>
      <c r="L191">
        <v>1</v>
      </c>
    </row>
    <row r="192" spans="1:12" ht="15" customHeight="1" x14ac:dyDescent="0.35">
      <c r="A192" t="str">
        <f>IF($B192="","",COUNTA($B$2:$B192))</f>
        <v/>
      </c>
      <c r="C192" t="str">
        <f>IF($B192="","",IFERROR(VLOOKUP($B192,[1]Employees!$A$2:$D$4801,2,FALSE()),"⚠ add to Employees"))</f>
        <v/>
      </c>
      <c r="D192" t="str">
        <f>IF($B192="","",IFERROR(VLOOKUP($B192,[1]Employees!$A$2:$D$4801,3,FALSE()),""))</f>
        <v/>
      </c>
      <c r="I192" s="103" t="str">
        <f t="shared" si="2"/>
        <v/>
      </c>
      <c r="L192">
        <v>1</v>
      </c>
    </row>
    <row r="193" spans="1:12" ht="15" customHeight="1" x14ac:dyDescent="0.35">
      <c r="A193" t="str">
        <f>IF($B193="","",COUNTA($B$2:$B193))</f>
        <v/>
      </c>
      <c r="C193" t="str">
        <f>IF($B193="","",IFERROR(VLOOKUP($B193,[1]Employees!$A$2:$D$4801,2,FALSE()),"⚠ add to Employees"))</f>
        <v/>
      </c>
      <c r="D193" t="str">
        <f>IF($B193="","",IFERROR(VLOOKUP($B193,[1]Employees!$A$2:$D$4801,3,FALSE()),""))</f>
        <v/>
      </c>
      <c r="I193" s="103" t="str">
        <f t="shared" si="2"/>
        <v/>
      </c>
      <c r="L193">
        <v>1</v>
      </c>
    </row>
    <row r="194" spans="1:12" ht="15" customHeight="1" x14ac:dyDescent="0.35">
      <c r="A194" t="str">
        <f>IF($B194="","",COUNTA($B$2:$B194))</f>
        <v/>
      </c>
      <c r="C194" t="str">
        <f>IF($B194="","",IFERROR(VLOOKUP($B194,[1]Employees!$A$2:$D$4801,2,FALSE()),"⚠ add to Employees"))</f>
        <v/>
      </c>
      <c r="D194" t="str">
        <f>IF($B194="","",IFERROR(VLOOKUP($B194,[1]Employees!$A$2:$D$4801,3,FALSE()),""))</f>
        <v/>
      </c>
      <c r="I194" s="103" t="str">
        <f t="shared" ref="I194:I250" si="3">IF($H194="","",DATE(YEAR($H194),MONTH($H194),1))</f>
        <v/>
      </c>
      <c r="L194">
        <v>1</v>
      </c>
    </row>
    <row r="195" spans="1:12" ht="15" customHeight="1" x14ac:dyDescent="0.35">
      <c r="A195" t="str">
        <f>IF($B195="","",COUNTA($B$2:$B195))</f>
        <v/>
      </c>
      <c r="C195" t="str">
        <f>IF($B195="","",IFERROR(VLOOKUP($B195,[1]Employees!$A$2:$D$4801,2,FALSE()),"⚠ add to Employees"))</f>
        <v/>
      </c>
      <c r="D195" t="str">
        <f>IF($B195="","",IFERROR(VLOOKUP($B195,[1]Employees!$A$2:$D$4801,3,FALSE()),""))</f>
        <v/>
      </c>
      <c r="I195" s="103" t="str">
        <f t="shared" si="3"/>
        <v/>
      </c>
      <c r="L195">
        <v>1</v>
      </c>
    </row>
    <row r="196" spans="1:12" ht="15" customHeight="1" x14ac:dyDescent="0.35">
      <c r="A196" t="str">
        <f>IF($B196="","",COUNTA($B$2:$B196))</f>
        <v/>
      </c>
      <c r="C196" t="str">
        <f>IF($B196="","",IFERROR(VLOOKUP($B196,[1]Employees!$A$2:$D$4801,2,FALSE()),"⚠ add to Employees"))</f>
        <v/>
      </c>
      <c r="D196" t="str">
        <f>IF($B196="","",IFERROR(VLOOKUP($B196,[1]Employees!$A$2:$D$4801,3,FALSE()),""))</f>
        <v/>
      </c>
      <c r="I196" s="103" t="str">
        <f t="shared" si="3"/>
        <v/>
      </c>
      <c r="L196">
        <v>1</v>
      </c>
    </row>
    <row r="197" spans="1:12" ht="15" customHeight="1" x14ac:dyDescent="0.35">
      <c r="A197" t="str">
        <f>IF($B197="","",COUNTA($B$2:$B197))</f>
        <v/>
      </c>
      <c r="C197" t="str">
        <f>IF($B197="","",IFERROR(VLOOKUP($B197,[1]Employees!$A$2:$D$4801,2,FALSE()),"⚠ add to Employees"))</f>
        <v/>
      </c>
      <c r="D197" t="str">
        <f>IF($B197="","",IFERROR(VLOOKUP($B197,[1]Employees!$A$2:$D$4801,3,FALSE()),""))</f>
        <v/>
      </c>
      <c r="I197" s="103" t="str">
        <f t="shared" si="3"/>
        <v/>
      </c>
      <c r="L197">
        <v>1</v>
      </c>
    </row>
    <row r="198" spans="1:12" ht="15" customHeight="1" x14ac:dyDescent="0.35">
      <c r="A198" t="str">
        <f>IF($B198="","",COUNTA($B$2:$B198))</f>
        <v/>
      </c>
      <c r="C198" t="str">
        <f>IF($B198="","",IFERROR(VLOOKUP($B198,[1]Employees!$A$2:$D$4801,2,FALSE()),"⚠ add to Employees"))</f>
        <v/>
      </c>
      <c r="D198" t="str">
        <f>IF($B198="","",IFERROR(VLOOKUP($B198,[1]Employees!$A$2:$D$4801,3,FALSE()),""))</f>
        <v/>
      </c>
      <c r="I198" s="103" t="str">
        <f t="shared" si="3"/>
        <v/>
      </c>
      <c r="L198">
        <v>1</v>
      </c>
    </row>
    <row r="199" spans="1:12" ht="15" customHeight="1" x14ac:dyDescent="0.35">
      <c r="A199" t="str">
        <f>IF($B199="","",COUNTA($B$2:$B199))</f>
        <v/>
      </c>
      <c r="C199" t="str">
        <f>IF($B199="","",IFERROR(VLOOKUP($B199,[1]Employees!$A$2:$D$4801,2,FALSE()),"⚠ add to Employees"))</f>
        <v/>
      </c>
      <c r="D199" t="str">
        <f>IF($B199="","",IFERROR(VLOOKUP($B199,[1]Employees!$A$2:$D$4801,3,FALSE()),""))</f>
        <v/>
      </c>
      <c r="I199" s="103" t="str">
        <f t="shared" si="3"/>
        <v/>
      </c>
      <c r="L199">
        <v>1</v>
      </c>
    </row>
    <row r="200" spans="1:12" ht="15" customHeight="1" x14ac:dyDescent="0.35">
      <c r="A200" t="str">
        <f>IF($B200="","",COUNTA($B$2:$B200))</f>
        <v/>
      </c>
      <c r="C200" t="str">
        <f>IF($B200="","",IFERROR(VLOOKUP($B200,[1]Employees!$A$2:$D$4801,2,FALSE()),"⚠ add to Employees"))</f>
        <v/>
      </c>
      <c r="D200" t="str">
        <f>IF($B200="","",IFERROR(VLOOKUP($B200,[1]Employees!$A$2:$D$4801,3,FALSE()),""))</f>
        <v/>
      </c>
      <c r="I200" s="103" t="str">
        <f t="shared" si="3"/>
        <v/>
      </c>
      <c r="L200">
        <v>1</v>
      </c>
    </row>
    <row r="201" spans="1:12" ht="15" customHeight="1" x14ac:dyDescent="0.35">
      <c r="A201" t="str">
        <f>IF($B201="","",COUNTA($B$2:$B201))</f>
        <v/>
      </c>
      <c r="C201" t="str">
        <f>IF($B201="","",IFERROR(VLOOKUP($B201,[1]Employees!$A$2:$D$4801,2,FALSE()),"⚠ add to Employees"))</f>
        <v/>
      </c>
      <c r="D201" t="str">
        <f>IF($B201="","",IFERROR(VLOOKUP($B201,[1]Employees!$A$2:$D$4801,3,FALSE()),""))</f>
        <v/>
      </c>
      <c r="I201" s="103" t="str">
        <f t="shared" si="3"/>
        <v/>
      </c>
      <c r="L201">
        <v>1</v>
      </c>
    </row>
    <row r="202" spans="1:12" ht="15" customHeight="1" x14ac:dyDescent="0.35">
      <c r="A202" t="str">
        <f>IF($B202="","",COUNTA($B$2:$B202))</f>
        <v/>
      </c>
      <c r="C202" t="str">
        <f>IF($B202="","",IFERROR(VLOOKUP($B202,[1]Employees!$A$2:$D$4801,2,FALSE()),"⚠ add to Employees"))</f>
        <v/>
      </c>
      <c r="D202" t="str">
        <f>IF($B202="","",IFERROR(VLOOKUP($B202,[1]Employees!$A$2:$D$4801,3,FALSE()),""))</f>
        <v/>
      </c>
      <c r="I202" s="103" t="str">
        <f t="shared" si="3"/>
        <v/>
      </c>
      <c r="L202">
        <v>1</v>
      </c>
    </row>
    <row r="203" spans="1:12" ht="15" customHeight="1" x14ac:dyDescent="0.35">
      <c r="A203" t="str">
        <f>IF($B203="","",COUNTA($B$2:$B203))</f>
        <v/>
      </c>
      <c r="C203" t="str">
        <f>IF($B203="","",IFERROR(VLOOKUP($B203,[1]Employees!$A$2:$D$4801,2,FALSE()),"⚠ add to Employees"))</f>
        <v/>
      </c>
      <c r="D203" t="str">
        <f>IF($B203="","",IFERROR(VLOOKUP($B203,[1]Employees!$A$2:$D$4801,3,FALSE()),""))</f>
        <v/>
      </c>
      <c r="I203" s="103" t="str">
        <f t="shared" si="3"/>
        <v/>
      </c>
      <c r="L203">
        <v>1</v>
      </c>
    </row>
    <row r="204" spans="1:12" ht="15" customHeight="1" x14ac:dyDescent="0.35">
      <c r="A204" t="str">
        <f>IF($B204="","",COUNTA($B$2:$B204))</f>
        <v/>
      </c>
      <c r="C204" t="str">
        <f>IF($B204="","",IFERROR(VLOOKUP($B204,[1]Employees!$A$2:$D$4801,2,FALSE()),"⚠ add to Employees"))</f>
        <v/>
      </c>
      <c r="D204" t="str">
        <f>IF($B204="","",IFERROR(VLOOKUP($B204,[1]Employees!$A$2:$D$4801,3,FALSE()),""))</f>
        <v/>
      </c>
      <c r="I204" s="103" t="str">
        <f t="shared" si="3"/>
        <v/>
      </c>
      <c r="L204">
        <v>1</v>
      </c>
    </row>
    <row r="205" spans="1:12" ht="15" customHeight="1" x14ac:dyDescent="0.35">
      <c r="A205" t="str">
        <f>IF($B205="","",COUNTA($B$2:$B205))</f>
        <v/>
      </c>
      <c r="C205" t="str">
        <f>IF($B205="","",IFERROR(VLOOKUP($B205,[1]Employees!$A$2:$D$4801,2,FALSE()),"⚠ add to Employees"))</f>
        <v/>
      </c>
      <c r="D205" t="str">
        <f>IF($B205="","",IFERROR(VLOOKUP($B205,[1]Employees!$A$2:$D$4801,3,FALSE()),""))</f>
        <v/>
      </c>
      <c r="I205" s="103" t="str">
        <f t="shared" si="3"/>
        <v/>
      </c>
      <c r="L205">
        <v>1</v>
      </c>
    </row>
    <row r="206" spans="1:12" ht="15" customHeight="1" x14ac:dyDescent="0.35">
      <c r="A206" t="str">
        <f>IF($B206="","",COUNTA($B$2:$B206))</f>
        <v/>
      </c>
      <c r="C206" t="str">
        <f>IF($B206="","",IFERROR(VLOOKUP($B206,[1]Employees!$A$2:$D$4801,2,FALSE()),"⚠ add to Employees"))</f>
        <v/>
      </c>
      <c r="D206" t="str">
        <f>IF($B206="","",IFERROR(VLOOKUP($B206,[1]Employees!$A$2:$D$4801,3,FALSE()),""))</f>
        <v/>
      </c>
      <c r="I206" s="103" t="str">
        <f t="shared" si="3"/>
        <v/>
      </c>
      <c r="L206">
        <v>1</v>
      </c>
    </row>
    <row r="207" spans="1:12" ht="15" customHeight="1" x14ac:dyDescent="0.35">
      <c r="A207" t="str">
        <f>IF($B207="","",COUNTA($B$2:$B207))</f>
        <v/>
      </c>
      <c r="C207" t="str">
        <f>IF($B207="","",IFERROR(VLOOKUP($B207,[1]Employees!$A$2:$D$4801,2,FALSE()),"⚠ add to Employees"))</f>
        <v/>
      </c>
      <c r="D207" t="str">
        <f>IF($B207="","",IFERROR(VLOOKUP($B207,[1]Employees!$A$2:$D$4801,3,FALSE()),""))</f>
        <v/>
      </c>
      <c r="I207" s="103" t="str">
        <f t="shared" si="3"/>
        <v/>
      </c>
      <c r="L207">
        <v>1</v>
      </c>
    </row>
    <row r="208" spans="1:12" ht="15" customHeight="1" x14ac:dyDescent="0.35">
      <c r="A208" t="str">
        <f>IF($B208="","",COUNTA($B$2:$B208))</f>
        <v/>
      </c>
      <c r="C208" t="str">
        <f>IF($B208="","",IFERROR(VLOOKUP($B208,[1]Employees!$A$2:$D$4801,2,FALSE()),"⚠ add to Employees"))</f>
        <v/>
      </c>
      <c r="D208" t="str">
        <f>IF($B208="","",IFERROR(VLOOKUP($B208,[1]Employees!$A$2:$D$4801,3,FALSE()),""))</f>
        <v/>
      </c>
      <c r="I208" s="103" t="str">
        <f t="shared" si="3"/>
        <v/>
      </c>
      <c r="L208">
        <v>1</v>
      </c>
    </row>
    <row r="209" spans="1:12" ht="15" customHeight="1" x14ac:dyDescent="0.35">
      <c r="A209" t="str">
        <f>IF($B209="","",COUNTA($B$2:$B209))</f>
        <v/>
      </c>
      <c r="C209" t="str">
        <f>IF($B209="","",IFERROR(VLOOKUP($B209,[1]Employees!$A$2:$D$4801,2,FALSE()),"⚠ add to Employees"))</f>
        <v/>
      </c>
      <c r="D209" t="str">
        <f>IF($B209="","",IFERROR(VLOOKUP($B209,[1]Employees!$A$2:$D$4801,3,FALSE()),""))</f>
        <v/>
      </c>
      <c r="I209" s="103" t="str">
        <f t="shared" si="3"/>
        <v/>
      </c>
      <c r="L209">
        <v>1</v>
      </c>
    </row>
    <row r="210" spans="1:12" ht="15" customHeight="1" x14ac:dyDescent="0.35">
      <c r="A210" t="str">
        <f>IF($B210="","",COUNTA($B$2:$B210))</f>
        <v/>
      </c>
      <c r="C210" t="str">
        <f>IF($B210="","",IFERROR(VLOOKUP($B210,[1]Employees!$A$2:$D$4801,2,FALSE()),"⚠ add to Employees"))</f>
        <v/>
      </c>
      <c r="D210" t="str">
        <f>IF($B210="","",IFERROR(VLOOKUP($B210,[1]Employees!$A$2:$D$4801,3,FALSE()),""))</f>
        <v/>
      </c>
      <c r="I210" s="103" t="str">
        <f t="shared" si="3"/>
        <v/>
      </c>
      <c r="L210">
        <v>1</v>
      </c>
    </row>
    <row r="211" spans="1:12" ht="15" customHeight="1" x14ac:dyDescent="0.35">
      <c r="A211" t="str">
        <f>IF($B211="","",COUNTA($B$2:$B211))</f>
        <v/>
      </c>
      <c r="C211" t="str">
        <f>IF($B211="","",IFERROR(VLOOKUP($B211,[1]Employees!$A$2:$D$4801,2,FALSE()),"⚠ add to Employees"))</f>
        <v/>
      </c>
      <c r="D211" t="str">
        <f>IF($B211="","",IFERROR(VLOOKUP($B211,[1]Employees!$A$2:$D$4801,3,FALSE()),""))</f>
        <v/>
      </c>
      <c r="I211" s="103" t="str">
        <f t="shared" si="3"/>
        <v/>
      </c>
      <c r="L211">
        <v>1</v>
      </c>
    </row>
    <row r="212" spans="1:12" ht="15" customHeight="1" x14ac:dyDescent="0.35">
      <c r="A212" t="str">
        <f>IF($B212="","",COUNTA($B$2:$B212))</f>
        <v/>
      </c>
      <c r="C212" t="str">
        <f>IF($B212="","",IFERROR(VLOOKUP($B212,[1]Employees!$A$2:$D$4801,2,FALSE()),"⚠ add to Employees"))</f>
        <v/>
      </c>
      <c r="D212" t="str">
        <f>IF($B212="","",IFERROR(VLOOKUP($B212,[1]Employees!$A$2:$D$4801,3,FALSE()),""))</f>
        <v/>
      </c>
      <c r="I212" s="103" t="str">
        <f t="shared" si="3"/>
        <v/>
      </c>
      <c r="L212">
        <v>1</v>
      </c>
    </row>
    <row r="213" spans="1:12" ht="15" customHeight="1" x14ac:dyDescent="0.35">
      <c r="A213" t="str">
        <f>IF($B213="","",COUNTA($B$2:$B213))</f>
        <v/>
      </c>
      <c r="C213" t="str">
        <f>IF($B213="","",IFERROR(VLOOKUP($B213,[1]Employees!$A$2:$D$4801,2,FALSE()),"⚠ add to Employees"))</f>
        <v/>
      </c>
      <c r="D213" t="str">
        <f>IF($B213="","",IFERROR(VLOOKUP($B213,[1]Employees!$A$2:$D$4801,3,FALSE()),""))</f>
        <v/>
      </c>
      <c r="I213" s="103" t="str">
        <f t="shared" si="3"/>
        <v/>
      </c>
      <c r="L213">
        <v>1</v>
      </c>
    </row>
    <row r="214" spans="1:12" ht="15" customHeight="1" x14ac:dyDescent="0.35">
      <c r="A214" t="str">
        <f>IF($B214="","",COUNTA($B$2:$B214))</f>
        <v/>
      </c>
      <c r="C214" t="str">
        <f>IF($B214="","",IFERROR(VLOOKUP($B214,[1]Employees!$A$2:$D$4801,2,FALSE()),"⚠ add to Employees"))</f>
        <v/>
      </c>
      <c r="D214" t="str">
        <f>IF($B214="","",IFERROR(VLOOKUP($B214,[1]Employees!$A$2:$D$4801,3,FALSE()),""))</f>
        <v/>
      </c>
      <c r="I214" s="103" t="str">
        <f t="shared" si="3"/>
        <v/>
      </c>
      <c r="L214">
        <v>1</v>
      </c>
    </row>
    <row r="215" spans="1:12" ht="15" customHeight="1" x14ac:dyDescent="0.35">
      <c r="A215" t="str">
        <f>IF($B215="","",COUNTA($B$2:$B215))</f>
        <v/>
      </c>
      <c r="C215" t="str">
        <f>IF($B215="","",IFERROR(VLOOKUP($B215,[1]Employees!$A$2:$D$4801,2,FALSE()),"⚠ add to Employees"))</f>
        <v/>
      </c>
      <c r="D215" t="str">
        <f>IF($B215="","",IFERROR(VLOOKUP($B215,[1]Employees!$A$2:$D$4801,3,FALSE()),""))</f>
        <v/>
      </c>
      <c r="I215" s="103" t="str">
        <f t="shared" si="3"/>
        <v/>
      </c>
      <c r="L215">
        <v>1</v>
      </c>
    </row>
    <row r="216" spans="1:12" ht="15" customHeight="1" x14ac:dyDescent="0.35">
      <c r="A216" t="str">
        <f>IF($B216="","",COUNTA($B$2:$B216))</f>
        <v/>
      </c>
      <c r="C216" t="str">
        <f>IF($B216="","",IFERROR(VLOOKUP($B216,[1]Employees!$A$2:$D$4801,2,FALSE()),"⚠ add to Employees"))</f>
        <v/>
      </c>
      <c r="D216" t="str">
        <f>IF($B216="","",IFERROR(VLOOKUP($B216,[1]Employees!$A$2:$D$4801,3,FALSE()),""))</f>
        <v/>
      </c>
      <c r="I216" s="103" t="str">
        <f t="shared" si="3"/>
        <v/>
      </c>
      <c r="L216">
        <v>1</v>
      </c>
    </row>
    <row r="217" spans="1:12" ht="15" customHeight="1" x14ac:dyDescent="0.35">
      <c r="A217" t="str">
        <f>IF($B217="","",COUNTA($B$2:$B217))</f>
        <v/>
      </c>
      <c r="C217" t="str">
        <f>IF($B217="","",IFERROR(VLOOKUP($B217,[1]Employees!$A$2:$D$4801,2,FALSE()),"⚠ add to Employees"))</f>
        <v/>
      </c>
      <c r="D217" t="str">
        <f>IF($B217="","",IFERROR(VLOOKUP($B217,[1]Employees!$A$2:$D$4801,3,FALSE()),""))</f>
        <v/>
      </c>
      <c r="I217" s="103" t="str">
        <f t="shared" si="3"/>
        <v/>
      </c>
      <c r="L217">
        <v>1</v>
      </c>
    </row>
    <row r="218" spans="1:12" ht="15" customHeight="1" x14ac:dyDescent="0.35">
      <c r="A218" t="str">
        <f>IF($B218="","",COUNTA($B$2:$B218))</f>
        <v/>
      </c>
      <c r="C218" t="str">
        <f>IF($B218="","",IFERROR(VLOOKUP($B218,[1]Employees!$A$2:$D$4801,2,FALSE()),"⚠ add to Employees"))</f>
        <v/>
      </c>
      <c r="D218" t="str">
        <f>IF($B218="","",IFERROR(VLOOKUP($B218,[1]Employees!$A$2:$D$4801,3,FALSE()),""))</f>
        <v/>
      </c>
      <c r="I218" s="103" t="str">
        <f t="shared" si="3"/>
        <v/>
      </c>
      <c r="L218">
        <v>1</v>
      </c>
    </row>
    <row r="219" spans="1:12" ht="15" customHeight="1" x14ac:dyDescent="0.35">
      <c r="A219" t="str">
        <f>IF($B219="","",COUNTA($B$2:$B219))</f>
        <v/>
      </c>
      <c r="C219" t="str">
        <f>IF($B219="","",IFERROR(VLOOKUP($B219,[1]Employees!$A$2:$D$4801,2,FALSE()),"⚠ add to Employees"))</f>
        <v/>
      </c>
      <c r="D219" t="str">
        <f>IF($B219="","",IFERROR(VLOOKUP($B219,[1]Employees!$A$2:$D$4801,3,FALSE()),""))</f>
        <v/>
      </c>
      <c r="I219" s="103" t="str">
        <f t="shared" si="3"/>
        <v/>
      </c>
      <c r="L219">
        <v>1</v>
      </c>
    </row>
    <row r="220" spans="1:12" ht="15" customHeight="1" x14ac:dyDescent="0.35">
      <c r="A220" t="str">
        <f>IF($B220="","",COUNTA($B$2:$B220))</f>
        <v/>
      </c>
      <c r="C220" t="str">
        <f>IF($B220="","",IFERROR(VLOOKUP($B220,[1]Employees!$A$2:$D$4801,2,FALSE()),"⚠ add to Employees"))</f>
        <v/>
      </c>
      <c r="D220" t="str">
        <f>IF($B220="","",IFERROR(VLOOKUP($B220,[1]Employees!$A$2:$D$4801,3,FALSE()),""))</f>
        <v/>
      </c>
      <c r="I220" s="103" t="str">
        <f t="shared" si="3"/>
        <v/>
      </c>
      <c r="L220">
        <v>1</v>
      </c>
    </row>
    <row r="221" spans="1:12" ht="15" customHeight="1" x14ac:dyDescent="0.35">
      <c r="A221" t="str">
        <f>IF($B221="","",COUNTA($B$2:$B221))</f>
        <v/>
      </c>
      <c r="C221" t="str">
        <f>IF($B221="","",IFERROR(VLOOKUP($B221,[1]Employees!$A$2:$D$4801,2,FALSE()),"⚠ add to Employees"))</f>
        <v/>
      </c>
      <c r="D221" t="str">
        <f>IF($B221="","",IFERROR(VLOOKUP($B221,[1]Employees!$A$2:$D$4801,3,FALSE()),""))</f>
        <v/>
      </c>
      <c r="I221" s="103" t="str">
        <f t="shared" si="3"/>
        <v/>
      </c>
      <c r="L221">
        <v>1</v>
      </c>
    </row>
    <row r="222" spans="1:12" ht="15" customHeight="1" x14ac:dyDescent="0.35">
      <c r="A222" t="str">
        <f>IF($B222="","",COUNTA($B$2:$B222))</f>
        <v/>
      </c>
      <c r="C222" t="str">
        <f>IF($B222="","",IFERROR(VLOOKUP($B222,[1]Employees!$A$2:$D$4801,2,FALSE()),"⚠ add to Employees"))</f>
        <v/>
      </c>
      <c r="D222" t="str">
        <f>IF($B222="","",IFERROR(VLOOKUP($B222,[1]Employees!$A$2:$D$4801,3,FALSE()),""))</f>
        <v/>
      </c>
      <c r="I222" s="103" t="str">
        <f t="shared" si="3"/>
        <v/>
      </c>
      <c r="L222">
        <v>1</v>
      </c>
    </row>
    <row r="223" spans="1:12" ht="15" customHeight="1" x14ac:dyDescent="0.35">
      <c r="A223" t="str">
        <f>IF($B223="","",COUNTA($B$2:$B223))</f>
        <v/>
      </c>
      <c r="C223" t="str">
        <f>IF($B223="","",IFERROR(VLOOKUP($B223,[1]Employees!$A$2:$D$4801,2,FALSE()),"⚠ add to Employees"))</f>
        <v/>
      </c>
      <c r="D223" t="str">
        <f>IF($B223="","",IFERROR(VLOOKUP($B223,[1]Employees!$A$2:$D$4801,3,FALSE()),""))</f>
        <v/>
      </c>
      <c r="I223" s="103" t="str">
        <f t="shared" si="3"/>
        <v/>
      </c>
      <c r="L223">
        <v>1</v>
      </c>
    </row>
    <row r="224" spans="1:12" ht="15" customHeight="1" x14ac:dyDescent="0.35">
      <c r="A224" t="str">
        <f>IF($B224="","",COUNTA($B$2:$B224))</f>
        <v/>
      </c>
      <c r="C224" t="str">
        <f>IF($B224="","",IFERROR(VLOOKUP($B224,[1]Employees!$A$2:$D$4801,2,FALSE()),"⚠ add to Employees"))</f>
        <v/>
      </c>
      <c r="D224" t="str">
        <f>IF($B224="","",IFERROR(VLOOKUP($B224,[1]Employees!$A$2:$D$4801,3,FALSE()),""))</f>
        <v/>
      </c>
      <c r="I224" s="103" t="str">
        <f t="shared" si="3"/>
        <v/>
      </c>
      <c r="L224">
        <v>1</v>
      </c>
    </row>
    <row r="225" spans="1:12" ht="15" customHeight="1" x14ac:dyDescent="0.35">
      <c r="A225" t="str">
        <f>IF($B225="","",COUNTA($B$2:$B225))</f>
        <v/>
      </c>
      <c r="C225" t="str">
        <f>IF($B225="","",IFERROR(VLOOKUP($B225,[1]Employees!$A$2:$D$4801,2,FALSE()),"⚠ add to Employees"))</f>
        <v/>
      </c>
      <c r="D225" t="str">
        <f>IF($B225="","",IFERROR(VLOOKUP($B225,[1]Employees!$A$2:$D$4801,3,FALSE()),""))</f>
        <v/>
      </c>
      <c r="I225" s="103" t="str">
        <f t="shared" si="3"/>
        <v/>
      </c>
      <c r="L225">
        <v>1</v>
      </c>
    </row>
    <row r="226" spans="1:12" ht="15" customHeight="1" x14ac:dyDescent="0.35">
      <c r="A226" t="str">
        <f>IF($B226="","",COUNTA($B$2:$B226))</f>
        <v/>
      </c>
      <c r="C226" t="str">
        <f>IF($B226="","",IFERROR(VLOOKUP($B226,[1]Employees!$A$2:$D$4801,2,FALSE()),"⚠ add to Employees"))</f>
        <v/>
      </c>
      <c r="D226" t="str">
        <f>IF($B226="","",IFERROR(VLOOKUP($B226,[1]Employees!$A$2:$D$4801,3,FALSE()),""))</f>
        <v/>
      </c>
      <c r="I226" s="103" t="str">
        <f t="shared" si="3"/>
        <v/>
      </c>
      <c r="L226">
        <v>1</v>
      </c>
    </row>
    <row r="227" spans="1:12" ht="15" customHeight="1" x14ac:dyDescent="0.35">
      <c r="A227" t="str">
        <f>IF($B227="","",COUNTA($B$2:$B227))</f>
        <v/>
      </c>
      <c r="C227" t="str">
        <f>IF($B227="","",IFERROR(VLOOKUP($B227,[1]Employees!$A$2:$D$4801,2,FALSE()),"⚠ add to Employees"))</f>
        <v/>
      </c>
      <c r="D227" t="str">
        <f>IF($B227="","",IFERROR(VLOOKUP($B227,[1]Employees!$A$2:$D$4801,3,FALSE()),""))</f>
        <v/>
      </c>
      <c r="I227" s="103" t="str">
        <f t="shared" si="3"/>
        <v/>
      </c>
      <c r="L227">
        <v>1</v>
      </c>
    </row>
    <row r="228" spans="1:12" ht="15" customHeight="1" x14ac:dyDescent="0.35">
      <c r="A228" t="str">
        <f>IF($B228="","",COUNTA($B$2:$B228))</f>
        <v/>
      </c>
      <c r="C228" t="str">
        <f>IF($B228="","",IFERROR(VLOOKUP($B228,[1]Employees!$A$2:$D$4801,2,FALSE()),"⚠ add to Employees"))</f>
        <v/>
      </c>
      <c r="D228" t="str">
        <f>IF($B228="","",IFERROR(VLOOKUP($B228,[1]Employees!$A$2:$D$4801,3,FALSE()),""))</f>
        <v/>
      </c>
      <c r="I228" s="103" t="str">
        <f t="shared" si="3"/>
        <v/>
      </c>
      <c r="L228">
        <v>1</v>
      </c>
    </row>
    <row r="229" spans="1:12" ht="15" customHeight="1" x14ac:dyDescent="0.35">
      <c r="A229" t="str">
        <f>IF($B229="","",COUNTA($B$2:$B229))</f>
        <v/>
      </c>
      <c r="C229" t="str">
        <f>IF($B229="","",IFERROR(VLOOKUP($B229,[1]Employees!$A$2:$D$4801,2,FALSE()),"⚠ add to Employees"))</f>
        <v/>
      </c>
      <c r="D229" t="str">
        <f>IF($B229="","",IFERROR(VLOOKUP($B229,[1]Employees!$A$2:$D$4801,3,FALSE()),""))</f>
        <v/>
      </c>
      <c r="I229" s="103" t="str">
        <f t="shared" si="3"/>
        <v/>
      </c>
      <c r="L229">
        <v>1</v>
      </c>
    </row>
    <row r="230" spans="1:12" ht="15" customHeight="1" x14ac:dyDescent="0.35">
      <c r="A230" t="str">
        <f>IF($B230="","",COUNTA($B$2:$B230))</f>
        <v/>
      </c>
      <c r="C230" t="str">
        <f>IF($B230="","",IFERROR(VLOOKUP($B230,[1]Employees!$A$2:$D$4801,2,FALSE()),"⚠ add to Employees"))</f>
        <v/>
      </c>
      <c r="D230" t="str">
        <f>IF($B230="","",IFERROR(VLOOKUP($B230,[1]Employees!$A$2:$D$4801,3,FALSE()),""))</f>
        <v/>
      </c>
      <c r="I230" s="103" t="str">
        <f t="shared" si="3"/>
        <v/>
      </c>
      <c r="L230">
        <v>1</v>
      </c>
    </row>
    <row r="231" spans="1:12" ht="15" customHeight="1" x14ac:dyDescent="0.35">
      <c r="A231" t="str">
        <f>IF($B231="","",COUNTA($B$2:$B231))</f>
        <v/>
      </c>
      <c r="C231" t="str">
        <f>IF($B231="","",IFERROR(VLOOKUP($B231,[1]Employees!$A$2:$D$4801,2,FALSE()),"⚠ add to Employees"))</f>
        <v/>
      </c>
      <c r="D231" t="str">
        <f>IF($B231="","",IFERROR(VLOOKUP($B231,[1]Employees!$A$2:$D$4801,3,FALSE()),""))</f>
        <v/>
      </c>
      <c r="I231" s="103" t="str">
        <f t="shared" si="3"/>
        <v/>
      </c>
      <c r="L231">
        <v>1</v>
      </c>
    </row>
    <row r="232" spans="1:12" ht="15" customHeight="1" x14ac:dyDescent="0.35">
      <c r="A232" t="str">
        <f>IF($B232="","",COUNTA($B$2:$B232))</f>
        <v/>
      </c>
      <c r="C232" t="str">
        <f>IF($B232="","",IFERROR(VLOOKUP($B232,[1]Employees!$A$2:$D$4801,2,FALSE()),"⚠ add to Employees"))</f>
        <v/>
      </c>
      <c r="D232" t="str">
        <f>IF($B232="","",IFERROR(VLOOKUP($B232,[1]Employees!$A$2:$D$4801,3,FALSE()),""))</f>
        <v/>
      </c>
      <c r="I232" s="103" t="str">
        <f t="shared" si="3"/>
        <v/>
      </c>
      <c r="L232">
        <v>1</v>
      </c>
    </row>
    <row r="233" spans="1:12" ht="15" customHeight="1" x14ac:dyDescent="0.35">
      <c r="A233" t="str">
        <f>IF($B233="","",COUNTA($B$2:$B233))</f>
        <v/>
      </c>
      <c r="C233" t="str">
        <f>IF($B233="","",IFERROR(VLOOKUP($B233,[1]Employees!$A$2:$D$4801,2,FALSE()),"⚠ add to Employees"))</f>
        <v/>
      </c>
      <c r="D233" t="str">
        <f>IF($B233="","",IFERROR(VLOOKUP($B233,[1]Employees!$A$2:$D$4801,3,FALSE()),""))</f>
        <v/>
      </c>
      <c r="I233" s="103" t="str">
        <f t="shared" si="3"/>
        <v/>
      </c>
      <c r="L233">
        <v>1</v>
      </c>
    </row>
    <row r="234" spans="1:12" ht="15" customHeight="1" x14ac:dyDescent="0.35">
      <c r="A234" t="str">
        <f>IF($B234="","",COUNTA($B$2:$B234))</f>
        <v/>
      </c>
      <c r="C234" t="str">
        <f>IF($B234="","",IFERROR(VLOOKUP($B234,[1]Employees!$A$2:$D$4801,2,FALSE()),"⚠ add to Employees"))</f>
        <v/>
      </c>
      <c r="D234" t="str">
        <f>IF($B234="","",IFERROR(VLOOKUP($B234,[1]Employees!$A$2:$D$4801,3,FALSE()),""))</f>
        <v/>
      </c>
      <c r="I234" s="103" t="str">
        <f t="shared" si="3"/>
        <v/>
      </c>
      <c r="L234">
        <v>1</v>
      </c>
    </row>
    <row r="235" spans="1:12" ht="15" customHeight="1" x14ac:dyDescent="0.35">
      <c r="A235" t="str">
        <f>IF($B235="","",COUNTA($B$2:$B235))</f>
        <v/>
      </c>
      <c r="C235" t="str">
        <f>IF($B235="","",IFERROR(VLOOKUP($B235,[1]Employees!$A$2:$D$4801,2,FALSE()),"⚠ add to Employees"))</f>
        <v/>
      </c>
      <c r="D235" t="str">
        <f>IF($B235="","",IFERROR(VLOOKUP($B235,[1]Employees!$A$2:$D$4801,3,FALSE()),""))</f>
        <v/>
      </c>
      <c r="I235" s="103" t="str">
        <f t="shared" si="3"/>
        <v/>
      </c>
      <c r="L235">
        <v>1</v>
      </c>
    </row>
    <row r="236" spans="1:12" ht="15" customHeight="1" x14ac:dyDescent="0.35">
      <c r="A236" t="str">
        <f>IF($B236="","",COUNTA($B$2:$B236))</f>
        <v/>
      </c>
      <c r="C236" t="str">
        <f>IF($B236="","",IFERROR(VLOOKUP($B236,[1]Employees!$A$2:$D$4801,2,FALSE()),"⚠ add to Employees"))</f>
        <v/>
      </c>
      <c r="D236" t="str">
        <f>IF($B236="","",IFERROR(VLOOKUP($B236,[1]Employees!$A$2:$D$4801,3,FALSE()),""))</f>
        <v/>
      </c>
      <c r="I236" s="103" t="str">
        <f t="shared" si="3"/>
        <v/>
      </c>
      <c r="L236">
        <v>1</v>
      </c>
    </row>
    <row r="237" spans="1:12" ht="15" customHeight="1" x14ac:dyDescent="0.35">
      <c r="A237" t="str">
        <f>IF($B237="","",COUNTA($B$2:$B237))</f>
        <v/>
      </c>
      <c r="C237" t="str">
        <f>IF($B237="","",IFERROR(VLOOKUP($B237,[1]Employees!$A$2:$D$4801,2,FALSE()),"⚠ add to Employees"))</f>
        <v/>
      </c>
      <c r="D237" t="str">
        <f>IF($B237="","",IFERROR(VLOOKUP($B237,[1]Employees!$A$2:$D$4801,3,FALSE()),""))</f>
        <v/>
      </c>
      <c r="I237" s="103" t="str">
        <f t="shared" si="3"/>
        <v/>
      </c>
      <c r="L237">
        <v>1</v>
      </c>
    </row>
    <row r="238" spans="1:12" ht="15" customHeight="1" x14ac:dyDescent="0.35">
      <c r="A238" t="str">
        <f>IF($B238="","",COUNTA($B$2:$B238))</f>
        <v/>
      </c>
      <c r="C238" t="str">
        <f>IF($B238="","",IFERROR(VLOOKUP($B238,[1]Employees!$A$2:$D$4801,2,FALSE()),"⚠ add to Employees"))</f>
        <v/>
      </c>
      <c r="D238" t="str">
        <f>IF($B238="","",IFERROR(VLOOKUP($B238,[1]Employees!$A$2:$D$4801,3,FALSE()),""))</f>
        <v/>
      </c>
      <c r="I238" s="103" t="str">
        <f t="shared" si="3"/>
        <v/>
      </c>
      <c r="L238">
        <v>1</v>
      </c>
    </row>
    <row r="239" spans="1:12" ht="15" customHeight="1" x14ac:dyDescent="0.35">
      <c r="A239" t="str">
        <f>IF($B239="","",COUNTA($B$2:$B239))</f>
        <v/>
      </c>
      <c r="C239" t="str">
        <f>IF($B239="","",IFERROR(VLOOKUP($B239,[1]Employees!$A$2:$D$4801,2,FALSE()),"⚠ add to Employees"))</f>
        <v/>
      </c>
      <c r="D239" t="str">
        <f>IF($B239="","",IFERROR(VLOOKUP($B239,[1]Employees!$A$2:$D$4801,3,FALSE()),""))</f>
        <v/>
      </c>
      <c r="I239" s="103" t="str">
        <f t="shared" si="3"/>
        <v/>
      </c>
      <c r="L239">
        <v>1</v>
      </c>
    </row>
    <row r="240" spans="1:12" ht="15" customHeight="1" x14ac:dyDescent="0.35">
      <c r="A240" t="str">
        <f>IF($B240="","",COUNTA($B$2:$B240))</f>
        <v/>
      </c>
      <c r="C240" t="str">
        <f>IF($B240="","",IFERROR(VLOOKUP($B240,[1]Employees!$A$2:$D$4801,2,FALSE()),"⚠ add to Employees"))</f>
        <v/>
      </c>
      <c r="D240" t="str">
        <f>IF($B240="","",IFERROR(VLOOKUP($B240,[1]Employees!$A$2:$D$4801,3,FALSE()),""))</f>
        <v/>
      </c>
      <c r="I240" s="103" t="str">
        <f t="shared" si="3"/>
        <v/>
      </c>
      <c r="L240">
        <v>1</v>
      </c>
    </row>
    <row r="241" spans="1:12" ht="15" customHeight="1" x14ac:dyDescent="0.35">
      <c r="A241" t="str">
        <f>IF($B241="","",COUNTA($B$2:$B241))</f>
        <v/>
      </c>
      <c r="C241" t="str">
        <f>IF($B241="","",IFERROR(VLOOKUP($B241,[1]Employees!$A$2:$D$4801,2,FALSE()),"⚠ add to Employees"))</f>
        <v/>
      </c>
      <c r="D241" t="str">
        <f>IF($B241="","",IFERROR(VLOOKUP($B241,[1]Employees!$A$2:$D$4801,3,FALSE()),""))</f>
        <v/>
      </c>
      <c r="I241" s="103" t="str">
        <f t="shared" si="3"/>
        <v/>
      </c>
      <c r="L241">
        <v>1</v>
      </c>
    </row>
    <row r="242" spans="1:12" ht="15" customHeight="1" x14ac:dyDescent="0.35">
      <c r="A242" t="str">
        <f>IF($B242="","",COUNTA($B$2:$B242))</f>
        <v/>
      </c>
      <c r="C242" t="str">
        <f>IF($B242="","",IFERROR(VLOOKUP($B242,[1]Employees!$A$2:$D$4801,2,FALSE()),"⚠ add to Employees"))</f>
        <v/>
      </c>
      <c r="D242" t="str">
        <f>IF($B242="","",IFERROR(VLOOKUP($B242,[1]Employees!$A$2:$D$4801,3,FALSE()),""))</f>
        <v/>
      </c>
      <c r="I242" s="103" t="str">
        <f t="shared" si="3"/>
        <v/>
      </c>
      <c r="L242">
        <v>1</v>
      </c>
    </row>
    <row r="243" spans="1:12" ht="15" customHeight="1" x14ac:dyDescent="0.35">
      <c r="A243" t="str">
        <f>IF($B243="","",COUNTA($B$2:$B243))</f>
        <v/>
      </c>
      <c r="C243" t="str">
        <f>IF($B243="","",IFERROR(VLOOKUP($B243,[1]Employees!$A$2:$D$4801,2,FALSE()),"⚠ add to Employees"))</f>
        <v/>
      </c>
      <c r="D243" t="str">
        <f>IF($B243="","",IFERROR(VLOOKUP($B243,[1]Employees!$A$2:$D$4801,3,FALSE()),""))</f>
        <v/>
      </c>
      <c r="I243" s="103" t="str">
        <f t="shared" si="3"/>
        <v/>
      </c>
      <c r="L243">
        <v>1</v>
      </c>
    </row>
    <row r="244" spans="1:12" ht="15" customHeight="1" x14ac:dyDescent="0.35">
      <c r="A244" t="str">
        <f>IF($B244="","",COUNTA($B$2:$B244))</f>
        <v/>
      </c>
      <c r="C244" t="str">
        <f>IF($B244="","",IFERROR(VLOOKUP($B244,[1]Employees!$A$2:$D$4801,2,FALSE()),"⚠ add to Employees"))</f>
        <v/>
      </c>
      <c r="D244" t="str">
        <f>IF($B244="","",IFERROR(VLOOKUP($B244,[1]Employees!$A$2:$D$4801,3,FALSE()),""))</f>
        <v/>
      </c>
      <c r="I244" s="103" t="str">
        <f t="shared" si="3"/>
        <v/>
      </c>
      <c r="L244">
        <v>1</v>
      </c>
    </row>
    <row r="245" spans="1:12" ht="15" customHeight="1" x14ac:dyDescent="0.35">
      <c r="A245" t="str">
        <f>IF($B245="","",COUNTA($B$2:$B245))</f>
        <v/>
      </c>
      <c r="C245" t="str">
        <f>IF($B245="","",IFERROR(VLOOKUP($B245,[1]Employees!$A$2:$D$4801,2,FALSE()),"⚠ add to Employees"))</f>
        <v/>
      </c>
      <c r="D245" t="str">
        <f>IF($B245="","",IFERROR(VLOOKUP($B245,[1]Employees!$A$2:$D$4801,3,FALSE()),""))</f>
        <v/>
      </c>
      <c r="I245" s="103" t="str">
        <f t="shared" si="3"/>
        <v/>
      </c>
      <c r="L245">
        <v>1</v>
      </c>
    </row>
    <row r="246" spans="1:12" ht="15" customHeight="1" x14ac:dyDescent="0.35">
      <c r="A246" t="str">
        <f>IF($B246="","",COUNTA($B$2:$B246))</f>
        <v/>
      </c>
      <c r="C246" t="str">
        <f>IF($B246="","",IFERROR(VLOOKUP($B246,[1]Employees!$A$2:$D$4801,2,FALSE()),"⚠ add to Employees"))</f>
        <v/>
      </c>
      <c r="D246" t="str">
        <f>IF($B246="","",IFERROR(VLOOKUP($B246,[1]Employees!$A$2:$D$4801,3,FALSE()),""))</f>
        <v/>
      </c>
      <c r="I246" s="103" t="str">
        <f t="shared" si="3"/>
        <v/>
      </c>
      <c r="L246">
        <v>1</v>
      </c>
    </row>
    <row r="247" spans="1:12" ht="15" customHeight="1" x14ac:dyDescent="0.35">
      <c r="A247" t="str">
        <f>IF($B247="","",COUNTA($B$2:$B247))</f>
        <v/>
      </c>
      <c r="C247" t="str">
        <f>IF($B247="","",IFERROR(VLOOKUP($B247,[1]Employees!$A$2:$D$4801,2,FALSE()),"⚠ add to Employees"))</f>
        <v/>
      </c>
      <c r="D247" t="str">
        <f>IF($B247="","",IFERROR(VLOOKUP($B247,[1]Employees!$A$2:$D$4801,3,FALSE()),""))</f>
        <v/>
      </c>
      <c r="I247" s="103" t="str">
        <f t="shared" si="3"/>
        <v/>
      </c>
      <c r="L247">
        <v>1</v>
      </c>
    </row>
    <row r="248" spans="1:12" ht="15" customHeight="1" x14ac:dyDescent="0.35">
      <c r="A248" t="str">
        <f>IF($B248="","",COUNTA($B$2:$B248))</f>
        <v/>
      </c>
      <c r="C248" t="str">
        <f>IF($B248="","",IFERROR(VLOOKUP($B248,[1]Employees!$A$2:$D$4801,2,FALSE()),"⚠ add to Employees"))</f>
        <v/>
      </c>
      <c r="D248" t="str">
        <f>IF($B248="","",IFERROR(VLOOKUP($B248,[1]Employees!$A$2:$D$4801,3,FALSE()),""))</f>
        <v/>
      </c>
      <c r="I248" s="103" t="str">
        <f t="shared" si="3"/>
        <v/>
      </c>
      <c r="L248">
        <v>1</v>
      </c>
    </row>
    <row r="249" spans="1:12" ht="15" customHeight="1" x14ac:dyDescent="0.35">
      <c r="A249" t="str">
        <f>IF($B249="","",COUNTA($B$2:$B249))</f>
        <v/>
      </c>
      <c r="C249" t="str">
        <f>IF($B249="","",IFERROR(VLOOKUP($B249,[1]Employees!$A$2:$D$4801,2,FALSE()),"⚠ add to Employees"))</f>
        <v/>
      </c>
      <c r="D249" t="str">
        <f>IF($B249="","",IFERROR(VLOOKUP($B249,[1]Employees!$A$2:$D$4801,3,FALSE()),""))</f>
        <v/>
      </c>
      <c r="I249" s="103" t="str">
        <f t="shared" si="3"/>
        <v/>
      </c>
      <c r="L249">
        <v>1</v>
      </c>
    </row>
    <row r="250" spans="1:12" ht="15" customHeight="1" x14ac:dyDescent="0.35">
      <c r="A250" t="str">
        <f>IF($B250="","",COUNTA($B$2:$B250))</f>
        <v/>
      </c>
      <c r="C250" t="str">
        <f>IF($B250="","",IFERROR(VLOOKUP($B250,[1]Employees!$A$2:$D$4801,2,FALSE()),"⚠ add to Employees"))</f>
        <v/>
      </c>
      <c r="D250" t="str">
        <f>IF($B250="","",IFERROR(VLOOKUP($B250,[1]Employees!$A$2:$D$4801,3,FALSE()),""))</f>
        <v/>
      </c>
      <c r="I250" s="103" t="str">
        <f t="shared" si="3"/>
        <v/>
      </c>
      <c r="L250">
        <v>1</v>
      </c>
    </row>
  </sheetData>
  <dataValidations count="6">
    <dataValidation type="list" allowBlank="1" sqref="M2:M250" xr:uid="{F7650C2C-651A-4D13-902F-0205E9FB3FEC}">
      <formula1>ReportedBy</formula1>
      <formula2>0</formula2>
    </dataValidation>
    <dataValidation type="list" allowBlank="1" sqref="K2:K250" xr:uid="{74F77DA3-7712-4E1D-9510-9B83298F8CFA}">
      <formula1>Status</formula1>
      <formula2>0</formula2>
    </dataValidation>
    <dataValidation type="list" allowBlank="1" sqref="J2:J250" xr:uid="{EB581092-49E5-45F9-BADD-894326A7C8BC}">
      <formula1>Disciplinary</formula1>
      <formula2>0</formula2>
    </dataValidation>
    <dataValidation type="list" allowBlank="1" sqref="G2:G250" xr:uid="{5ECC718F-3A31-4D86-9A71-D30E9C8FEC2E}">
      <formula1>VioCategory</formula1>
      <formula2>0</formula2>
    </dataValidation>
    <dataValidation type="list" allowBlank="1" sqref="F2:F250" xr:uid="{77350BCA-D447-4724-A2BC-CD9B506CF09B}">
      <formula1>VioType</formula1>
      <formula2>0</formula2>
    </dataValidation>
    <dataValidation type="list" allowBlank="1" sqref="E2:E250" xr:uid="{FCE4F4C1-28F0-4947-9D14-C0B91EB16A10}">
      <formula1>Locations</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05"/>
  <sheetViews>
    <sheetView zoomScaleNormal="100" workbookViewId="0">
      <pane ySplit="1" topLeftCell="A473" activePane="bottomLeft" state="frozen"/>
      <selection pane="bottomLeft" activeCell="G504" sqref="G504"/>
    </sheetView>
  </sheetViews>
  <sheetFormatPr defaultColWidth="8.7265625" defaultRowHeight="14.5" x14ac:dyDescent="0.35"/>
  <cols>
    <col min="1" max="7" width="16" customWidth="1"/>
    <col min="8" max="8" width="2.81640625" customWidth="1"/>
    <col min="9" max="9" width="28.26953125" bestFit="1" customWidth="1"/>
    <col min="10" max="10" width="2.81640625" customWidth="1"/>
    <col min="11" max="11" width="23" bestFit="1" customWidth="1"/>
  </cols>
  <sheetData>
    <row r="1" spans="1:11" ht="26" x14ac:dyDescent="0.35">
      <c r="A1" s="3" t="s">
        <v>181</v>
      </c>
      <c r="B1" s="3" t="s">
        <v>182</v>
      </c>
      <c r="C1" s="3" t="s">
        <v>183</v>
      </c>
      <c r="D1" s="3" t="s">
        <v>184</v>
      </c>
      <c r="E1" s="3" t="s">
        <v>185</v>
      </c>
      <c r="F1" s="3" t="s">
        <v>102</v>
      </c>
      <c r="G1" s="3" t="s">
        <v>186</v>
      </c>
      <c r="I1" s="43" t="s">
        <v>187</v>
      </c>
      <c r="K1" s="43" t="s">
        <v>188</v>
      </c>
    </row>
    <row r="2" spans="1:11" x14ac:dyDescent="0.35">
      <c r="A2" s="4" t="s">
        <v>115</v>
      </c>
      <c r="B2" s="4" t="s">
        <v>117</v>
      </c>
      <c r="C2" s="4" t="s">
        <v>103</v>
      </c>
      <c r="D2" s="4">
        <v>1</v>
      </c>
      <c r="E2" s="4">
        <f>'Raw Data'!F3</f>
        <v>1</v>
      </c>
      <c r="F2" s="4">
        <f>N('Raw Data'!$E3)</f>
        <v>2</v>
      </c>
      <c r="G2" s="4" t="str">
        <f t="shared" ref="G2:G65" si="0">IF(COUNTIF($I$2:$I$8,$B2),"Leading",IF(COUNTIF($K$2:$K$8,$B2),"Lagging",""))</f>
        <v>Leading</v>
      </c>
      <c r="I2" t="s">
        <v>117</v>
      </c>
      <c r="K2" t="s">
        <v>120</v>
      </c>
    </row>
    <row r="3" spans="1:11" x14ac:dyDescent="0.35">
      <c r="A3" s="4" t="s">
        <v>115</v>
      </c>
      <c r="B3" s="4" t="s">
        <v>117</v>
      </c>
      <c r="C3" s="4" t="s">
        <v>104</v>
      </c>
      <c r="D3" s="4">
        <v>2</v>
      </c>
      <c r="E3" s="4">
        <f>'Raw Data'!G3</f>
        <v>7</v>
      </c>
      <c r="F3" s="4">
        <f>N('Raw Data'!$E3)</f>
        <v>2</v>
      </c>
      <c r="G3" s="4" t="str">
        <f t="shared" si="0"/>
        <v>Leading</v>
      </c>
      <c r="I3" t="s">
        <v>118</v>
      </c>
      <c r="K3" t="s">
        <v>121</v>
      </c>
    </row>
    <row r="4" spans="1:11" x14ac:dyDescent="0.35">
      <c r="A4" s="4" t="s">
        <v>115</v>
      </c>
      <c r="B4" s="4" t="s">
        <v>117</v>
      </c>
      <c r="C4" s="4" t="s">
        <v>105</v>
      </c>
      <c r="D4" s="4">
        <v>3</v>
      </c>
      <c r="E4" s="4">
        <f>'Raw Data'!H3</f>
        <v>5</v>
      </c>
      <c r="F4" s="4">
        <f>N('Raw Data'!$E3)</f>
        <v>2</v>
      </c>
      <c r="G4" s="4" t="str">
        <f t="shared" si="0"/>
        <v>Leading</v>
      </c>
      <c r="I4" t="s">
        <v>119</v>
      </c>
      <c r="K4" t="s">
        <v>68</v>
      </c>
    </row>
    <row r="5" spans="1:11" x14ac:dyDescent="0.35">
      <c r="A5" s="4" t="s">
        <v>115</v>
      </c>
      <c r="B5" s="4" t="s">
        <v>117</v>
      </c>
      <c r="C5" s="4" t="s">
        <v>106</v>
      </c>
      <c r="D5" s="4">
        <v>4</v>
      </c>
      <c r="E5" s="4">
        <f>'Raw Data'!I3</f>
        <v>1</v>
      </c>
      <c r="F5" s="4">
        <f>N('Raw Data'!$E3)</f>
        <v>2</v>
      </c>
      <c r="G5" s="4" t="str">
        <f t="shared" si="0"/>
        <v>Leading</v>
      </c>
      <c r="I5" t="s">
        <v>125</v>
      </c>
      <c r="K5" t="s">
        <v>122</v>
      </c>
    </row>
    <row r="6" spans="1:11" x14ac:dyDescent="0.35">
      <c r="A6" s="4" t="s">
        <v>115</v>
      </c>
      <c r="B6" s="4" t="s">
        <v>117</v>
      </c>
      <c r="C6" s="4" t="s">
        <v>107</v>
      </c>
      <c r="D6" s="4">
        <v>5</v>
      </c>
      <c r="E6" s="4">
        <f>'Raw Data'!J3</f>
        <v>1</v>
      </c>
      <c r="F6" s="4">
        <f>N('Raw Data'!$E3)</f>
        <v>2</v>
      </c>
      <c r="G6" s="4" t="str">
        <f t="shared" si="0"/>
        <v>Leading</v>
      </c>
      <c r="I6" t="s">
        <v>126</v>
      </c>
      <c r="K6" t="s">
        <v>123</v>
      </c>
    </row>
    <row r="7" spans="1:11" x14ac:dyDescent="0.35">
      <c r="A7" s="4" t="s">
        <v>115</v>
      </c>
      <c r="B7" s="4" t="s">
        <v>117</v>
      </c>
      <c r="C7" s="4" t="s">
        <v>108</v>
      </c>
      <c r="D7" s="4">
        <v>6</v>
      </c>
      <c r="E7" s="4">
        <f>'Raw Data'!K3</f>
        <v>1</v>
      </c>
      <c r="F7" s="4">
        <f>N('Raw Data'!$E3)</f>
        <v>2</v>
      </c>
      <c r="G7" s="4" t="str">
        <f t="shared" si="0"/>
        <v>Leading</v>
      </c>
      <c r="I7" t="s">
        <v>127</v>
      </c>
      <c r="K7" t="s">
        <v>124</v>
      </c>
    </row>
    <row r="8" spans="1:11" x14ac:dyDescent="0.35">
      <c r="A8" s="4" t="s">
        <v>115</v>
      </c>
      <c r="B8" s="4" t="s">
        <v>117</v>
      </c>
      <c r="C8" s="4" t="s">
        <v>109</v>
      </c>
      <c r="D8" s="4">
        <v>7</v>
      </c>
      <c r="E8" s="4">
        <f>'Raw Data'!L3</f>
        <v>0</v>
      </c>
      <c r="F8" s="4">
        <f>N('Raw Data'!$E3)</f>
        <v>2</v>
      </c>
      <c r="G8" s="4" t="str">
        <f t="shared" si="0"/>
        <v>Leading</v>
      </c>
      <c r="I8" t="s">
        <v>128</v>
      </c>
      <c r="K8" t="s">
        <v>51</v>
      </c>
    </row>
    <row r="9" spans="1:11" x14ac:dyDescent="0.35">
      <c r="A9" s="4" t="s">
        <v>115</v>
      </c>
      <c r="B9" s="4" t="s">
        <v>117</v>
      </c>
      <c r="C9" s="4" t="s">
        <v>110</v>
      </c>
      <c r="D9" s="4">
        <v>8</v>
      </c>
      <c r="E9" s="4">
        <f>'Raw Data'!M3</f>
        <v>0</v>
      </c>
      <c r="F9" s="4">
        <f>N('Raw Data'!$E3)</f>
        <v>2</v>
      </c>
      <c r="G9" s="4" t="str">
        <f t="shared" si="0"/>
        <v>Leading</v>
      </c>
    </row>
    <row r="10" spans="1:11" x14ac:dyDescent="0.35">
      <c r="A10" s="4" t="s">
        <v>115</v>
      </c>
      <c r="B10" s="4" t="s">
        <v>117</v>
      </c>
      <c r="C10" s="4" t="s">
        <v>111</v>
      </c>
      <c r="D10" s="4">
        <v>9</v>
      </c>
      <c r="E10" s="4">
        <f>'Raw Data'!N3</f>
        <v>0</v>
      </c>
      <c r="F10" s="4">
        <f>N('Raw Data'!$E3)</f>
        <v>2</v>
      </c>
      <c r="G10" s="4" t="str">
        <f t="shared" si="0"/>
        <v>Leading</v>
      </c>
    </row>
    <row r="11" spans="1:11" x14ac:dyDescent="0.35">
      <c r="A11" s="4" t="s">
        <v>115</v>
      </c>
      <c r="B11" s="4" t="s">
        <v>117</v>
      </c>
      <c r="C11" s="4" t="s">
        <v>112</v>
      </c>
      <c r="D11" s="4">
        <v>10</v>
      </c>
      <c r="E11" s="4">
        <f>'Raw Data'!O3</f>
        <v>0</v>
      </c>
      <c r="F11" s="4">
        <f>N('Raw Data'!$E3)</f>
        <v>2</v>
      </c>
      <c r="G11" s="4" t="str">
        <f t="shared" si="0"/>
        <v>Leading</v>
      </c>
    </row>
    <row r="12" spans="1:11" x14ac:dyDescent="0.35">
      <c r="A12" s="4" t="s">
        <v>115</v>
      </c>
      <c r="B12" s="4" t="s">
        <v>117</v>
      </c>
      <c r="C12" s="4" t="s">
        <v>113</v>
      </c>
      <c r="D12" s="4">
        <v>11</v>
      </c>
      <c r="E12" s="4">
        <f>'Raw Data'!P3</f>
        <v>0</v>
      </c>
      <c r="F12" s="4">
        <f>N('Raw Data'!$E3)</f>
        <v>2</v>
      </c>
      <c r="G12" s="4" t="str">
        <f t="shared" si="0"/>
        <v>Leading</v>
      </c>
    </row>
    <row r="13" spans="1:11" x14ac:dyDescent="0.35">
      <c r="A13" s="4" t="s">
        <v>115</v>
      </c>
      <c r="B13" s="4" t="s">
        <v>117</v>
      </c>
      <c r="C13" s="4" t="s">
        <v>114</v>
      </c>
      <c r="D13" s="4">
        <v>12</v>
      </c>
      <c r="E13" s="4">
        <f>'Raw Data'!Q3</f>
        <v>0</v>
      </c>
      <c r="F13" s="4">
        <f>N('Raw Data'!$E3)</f>
        <v>2</v>
      </c>
      <c r="G13" s="4" t="str">
        <f t="shared" si="0"/>
        <v>Leading</v>
      </c>
    </row>
    <row r="14" spans="1:11" x14ac:dyDescent="0.35">
      <c r="A14" s="4" t="s">
        <v>115</v>
      </c>
      <c r="B14" s="4" t="s">
        <v>118</v>
      </c>
      <c r="C14" s="4" t="s">
        <v>103</v>
      </c>
      <c r="D14" s="4">
        <v>1</v>
      </c>
      <c r="E14" s="4">
        <f>'Raw Data'!F4</f>
        <v>0</v>
      </c>
      <c r="F14" s="4">
        <f>N('Raw Data'!$E4)</f>
        <v>0</v>
      </c>
      <c r="G14" s="4" t="str">
        <f t="shared" si="0"/>
        <v>Leading</v>
      </c>
    </row>
    <row r="15" spans="1:11" x14ac:dyDescent="0.35">
      <c r="A15" s="4" t="s">
        <v>115</v>
      </c>
      <c r="B15" s="4" t="s">
        <v>118</v>
      </c>
      <c r="C15" s="4" t="s">
        <v>104</v>
      </c>
      <c r="D15" s="4">
        <v>2</v>
      </c>
      <c r="E15" s="4">
        <f>'Raw Data'!G4</f>
        <v>17</v>
      </c>
      <c r="F15" s="4">
        <f>N('Raw Data'!$E4)</f>
        <v>0</v>
      </c>
      <c r="G15" s="4" t="str">
        <f t="shared" si="0"/>
        <v>Leading</v>
      </c>
    </row>
    <row r="16" spans="1:11" x14ac:dyDescent="0.35">
      <c r="A16" s="4" t="s">
        <v>115</v>
      </c>
      <c r="B16" s="4" t="s">
        <v>118</v>
      </c>
      <c r="C16" s="4" t="s">
        <v>105</v>
      </c>
      <c r="D16" s="4">
        <v>3</v>
      </c>
      <c r="E16" s="4">
        <f>'Raw Data'!H4</f>
        <v>10</v>
      </c>
      <c r="F16" s="4">
        <f>N('Raw Data'!$E4)</f>
        <v>0</v>
      </c>
      <c r="G16" s="4" t="str">
        <f t="shared" si="0"/>
        <v>Leading</v>
      </c>
    </row>
    <row r="17" spans="1:7" x14ac:dyDescent="0.35">
      <c r="A17" s="4" t="s">
        <v>115</v>
      </c>
      <c r="B17" s="4" t="s">
        <v>118</v>
      </c>
      <c r="C17" s="4" t="s">
        <v>106</v>
      </c>
      <c r="D17" s="4">
        <v>4</v>
      </c>
      <c r="E17" s="4">
        <f>'Raw Data'!I4</f>
        <v>17</v>
      </c>
      <c r="F17" s="4">
        <f>N('Raw Data'!$E4)</f>
        <v>0</v>
      </c>
      <c r="G17" s="4" t="str">
        <f t="shared" si="0"/>
        <v>Leading</v>
      </c>
    </row>
    <row r="18" spans="1:7" x14ac:dyDescent="0.35">
      <c r="A18" s="4" t="s">
        <v>115</v>
      </c>
      <c r="B18" s="4" t="s">
        <v>118</v>
      </c>
      <c r="C18" s="4" t="s">
        <v>107</v>
      </c>
      <c r="D18" s="4">
        <v>5</v>
      </c>
      <c r="E18" s="4">
        <f>'Raw Data'!J4</f>
        <v>0</v>
      </c>
      <c r="F18" s="4">
        <f>N('Raw Data'!$E4)</f>
        <v>0</v>
      </c>
      <c r="G18" s="4" t="str">
        <f t="shared" si="0"/>
        <v>Leading</v>
      </c>
    </row>
    <row r="19" spans="1:7" x14ac:dyDescent="0.35">
      <c r="A19" s="4" t="s">
        <v>115</v>
      </c>
      <c r="B19" s="4" t="s">
        <v>118</v>
      </c>
      <c r="C19" s="4" t="s">
        <v>108</v>
      </c>
      <c r="D19" s="4">
        <v>6</v>
      </c>
      <c r="E19" s="4">
        <f>'Raw Data'!K4</f>
        <v>1</v>
      </c>
      <c r="F19" s="4">
        <f>N('Raw Data'!$E4)</f>
        <v>0</v>
      </c>
      <c r="G19" s="4" t="str">
        <f t="shared" si="0"/>
        <v>Leading</v>
      </c>
    </row>
    <row r="20" spans="1:7" x14ac:dyDescent="0.35">
      <c r="A20" s="4" t="s">
        <v>115</v>
      </c>
      <c r="B20" s="4" t="s">
        <v>118</v>
      </c>
      <c r="C20" s="4" t="s">
        <v>109</v>
      </c>
      <c r="D20" s="4">
        <v>7</v>
      </c>
      <c r="E20" s="4">
        <f>'Raw Data'!L4</f>
        <v>0</v>
      </c>
      <c r="F20" s="4">
        <f>N('Raw Data'!$E4)</f>
        <v>0</v>
      </c>
      <c r="G20" s="4" t="str">
        <f t="shared" si="0"/>
        <v>Leading</v>
      </c>
    </row>
    <row r="21" spans="1:7" x14ac:dyDescent="0.35">
      <c r="A21" s="4" t="s">
        <v>115</v>
      </c>
      <c r="B21" s="4" t="s">
        <v>118</v>
      </c>
      <c r="C21" s="4" t="s">
        <v>110</v>
      </c>
      <c r="D21" s="4">
        <v>8</v>
      </c>
      <c r="E21" s="4">
        <f>'Raw Data'!M4</f>
        <v>0</v>
      </c>
      <c r="F21" s="4">
        <f>N('Raw Data'!$E4)</f>
        <v>0</v>
      </c>
      <c r="G21" s="4" t="str">
        <f t="shared" si="0"/>
        <v>Leading</v>
      </c>
    </row>
    <row r="22" spans="1:7" x14ac:dyDescent="0.35">
      <c r="A22" s="4" t="s">
        <v>115</v>
      </c>
      <c r="B22" s="4" t="s">
        <v>118</v>
      </c>
      <c r="C22" s="4" t="s">
        <v>111</v>
      </c>
      <c r="D22" s="4">
        <v>9</v>
      </c>
      <c r="E22" s="4">
        <f>'Raw Data'!N4</f>
        <v>0</v>
      </c>
      <c r="F22" s="4">
        <f>N('Raw Data'!$E4)</f>
        <v>0</v>
      </c>
      <c r="G22" s="4" t="str">
        <f t="shared" si="0"/>
        <v>Leading</v>
      </c>
    </row>
    <row r="23" spans="1:7" x14ac:dyDescent="0.35">
      <c r="A23" s="4" t="s">
        <v>115</v>
      </c>
      <c r="B23" s="4" t="s">
        <v>118</v>
      </c>
      <c r="C23" s="4" t="s">
        <v>112</v>
      </c>
      <c r="D23" s="4">
        <v>10</v>
      </c>
      <c r="E23" s="4">
        <f>'Raw Data'!O4</f>
        <v>0</v>
      </c>
      <c r="F23" s="4">
        <f>N('Raw Data'!$E4)</f>
        <v>0</v>
      </c>
      <c r="G23" s="4" t="str">
        <f t="shared" si="0"/>
        <v>Leading</v>
      </c>
    </row>
    <row r="24" spans="1:7" x14ac:dyDescent="0.35">
      <c r="A24" s="4" t="s">
        <v>115</v>
      </c>
      <c r="B24" s="4" t="s">
        <v>118</v>
      </c>
      <c r="C24" s="4" t="s">
        <v>113</v>
      </c>
      <c r="D24" s="4">
        <v>11</v>
      </c>
      <c r="E24" s="4">
        <f>'Raw Data'!P4</f>
        <v>0</v>
      </c>
      <c r="F24" s="4">
        <f>N('Raw Data'!$E4)</f>
        <v>0</v>
      </c>
      <c r="G24" s="4" t="str">
        <f t="shared" si="0"/>
        <v>Leading</v>
      </c>
    </row>
    <row r="25" spans="1:7" x14ac:dyDescent="0.35">
      <c r="A25" s="4" t="s">
        <v>115</v>
      </c>
      <c r="B25" s="4" t="s">
        <v>118</v>
      </c>
      <c r="C25" s="4" t="s">
        <v>114</v>
      </c>
      <c r="D25" s="4">
        <v>12</v>
      </c>
      <c r="E25" s="4">
        <f>'Raw Data'!Q4</f>
        <v>0</v>
      </c>
      <c r="F25" s="4">
        <f>N('Raw Data'!$E4)</f>
        <v>0</v>
      </c>
      <c r="G25" s="4" t="str">
        <f t="shared" si="0"/>
        <v>Leading</v>
      </c>
    </row>
    <row r="26" spans="1:7" x14ac:dyDescent="0.35">
      <c r="A26" s="4" t="s">
        <v>115</v>
      </c>
      <c r="B26" s="4" t="s">
        <v>119</v>
      </c>
      <c r="C26" s="4" t="s">
        <v>103</v>
      </c>
      <c r="D26" s="4">
        <v>1</v>
      </c>
      <c r="E26" s="4">
        <f>'Raw Data'!F5</f>
        <v>0</v>
      </c>
      <c r="F26" s="4">
        <f>N('Raw Data'!$E5)</f>
        <v>0</v>
      </c>
      <c r="G26" s="4" t="str">
        <f t="shared" si="0"/>
        <v>Leading</v>
      </c>
    </row>
    <row r="27" spans="1:7" x14ac:dyDescent="0.35">
      <c r="A27" s="4" t="s">
        <v>115</v>
      </c>
      <c r="B27" s="4" t="s">
        <v>119</v>
      </c>
      <c r="C27" s="4" t="s">
        <v>104</v>
      </c>
      <c r="D27" s="4">
        <v>2</v>
      </c>
      <c r="E27" s="4">
        <f>'Raw Data'!G5</f>
        <v>10</v>
      </c>
      <c r="F27" s="4">
        <f>N('Raw Data'!$E5)</f>
        <v>0</v>
      </c>
      <c r="G27" s="4" t="str">
        <f t="shared" si="0"/>
        <v>Leading</v>
      </c>
    </row>
    <row r="28" spans="1:7" x14ac:dyDescent="0.35">
      <c r="A28" s="4" t="s">
        <v>115</v>
      </c>
      <c r="B28" s="4" t="s">
        <v>119</v>
      </c>
      <c r="C28" s="4" t="s">
        <v>105</v>
      </c>
      <c r="D28" s="4">
        <v>3</v>
      </c>
      <c r="E28" s="4">
        <f>'Raw Data'!H5</f>
        <v>9</v>
      </c>
      <c r="F28" s="4">
        <f>N('Raw Data'!$E5)</f>
        <v>0</v>
      </c>
      <c r="G28" s="4" t="str">
        <f t="shared" si="0"/>
        <v>Leading</v>
      </c>
    </row>
    <row r="29" spans="1:7" x14ac:dyDescent="0.35">
      <c r="A29" s="4" t="s">
        <v>115</v>
      </c>
      <c r="B29" s="4" t="s">
        <v>119</v>
      </c>
      <c r="C29" s="4" t="s">
        <v>106</v>
      </c>
      <c r="D29" s="4">
        <v>4</v>
      </c>
      <c r="E29" s="4">
        <f>'Raw Data'!I5</f>
        <v>5</v>
      </c>
      <c r="F29" s="4">
        <f>N('Raw Data'!$E5)</f>
        <v>0</v>
      </c>
      <c r="G29" s="4" t="str">
        <f t="shared" si="0"/>
        <v>Leading</v>
      </c>
    </row>
    <row r="30" spans="1:7" x14ac:dyDescent="0.35">
      <c r="A30" s="4" t="s">
        <v>115</v>
      </c>
      <c r="B30" s="4" t="s">
        <v>119</v>
      </c>
      <c r="C30" s="4" t="s">
        <v>107</v>
      </c>
      <c r="D30" s="4">
        <v>5</v>
      </c>
      <c r="E30" s="4">
        <f>'Raw Data'!J5</f>
        <v>0</v>
      </c>
      <c r="F30" s="4">
        <f>N('Raw Data'!$E5)</f>
        <v>0</v>
      </c>
      <c r="G30" s="4" t="str">
        <f t="shared" si="0"/>
        <v>Leading</v>
      </c>
    </row>
    <row r="31" spans="1:7" x14ac:dyDescent="0.35">
      <c r="A31" s="4" t="s">
        <v>115</v>
      </c>
      <c r="B31" s="4" t="s">
        <v>119</v>
      </c>
      <c r="C31" s="4" t="s">
        <v>108</v>
      </c>
      <c r="D31" s="4">
        <v>6</v>
      </c>
      <c r="E31" s="4">
        <f>'Raw Data'!K5</f>
        <v>5</v>
      </c>
      <c r="F31" s="4">
        <f>N('Raw Data'!$E5)</f>
        <v>0</v>
      </c>
      <c r="G31" s="4" t="str">
        <f t="shared" si="0"/>
        <v>Leading</v>
      </c>
    </row>
    <row r="32" spans="1:7" x14ac:dyDescent="0.35">
      <c r="A32" s="4" t="s">
        <v>115</v>
      </c>
      <c r="B32" s="4" t="s">
        <v>119</v>
      </c>
      <c r="C32" s="4" t="s">
        <v>109</v>
      </c>
      <c r="D32" s="4">
        <v>7</v>
      </c>
      <c r="E32" s="4">
        <f>'Raw Data'!L5</f>
        <v>0</v>
      </c>
      <c r="F32" s="4">
        <f>N('Raw Data'!$E5)</f>
        <v>0</v>
      </c>
      <c r="G32" s="4" t="str">
        <f t="shared" si="0"/>
        <v>Leading</v>
      </c>
    </row>
    <row r="33" spans="1:7" x14ac:dyDescent="0.35">
      <c r="A33" s="4" t="s">
        <v>115</v>
      </c>
      <c r="B33" s="4" t="s">
        <v>119</v>
      </c>
      <c r="C33" s="4" t="s">
        <v>110</v>
      </c>
      <c r="D33" s="4">
        <v>8</v>
      </c>
      <c r="E33" s="4">
        <f>'Raw Data'!M5</f>
        <v>0</v>
      </c>
      <c r="F33" s="4">
        <f>N('Raw Data'!$E5)</f>
        <v>0</v>
      </c>
      <c r="G33" s="4" t="str">
        <f t="shared" si="0"/>
        <v>Leading</v>
      </c>
    </row>
    <row r="34" spans="1:7" x14ac:dyDescent="0.35">
      <c r="A34" s="4" t="s">
        <v>115</v>
      </c>
      <c r="B34" s="4" t="s">
        <v>119</v>
      </c>
      <c r="C34" s="4" t="s">
        <v>111</v>
      </c>
      <c r="D34" s="4">
        <v>9</v>
      </c>
      <c r="E34" s="4">
        <f>'Raw Data'!N5</f>
        <v>0</v>
      </c>
      <c r="F34" s="4">
        <f>N('Raw Data'!$E5)</f>
        <v>0</v>
      </c>
      <c r="G34" s="4" t="str">
        <f t="shared" si="0"/>
        <v>Leading</v>
      </c>
    </row>
    <row r="35" spans="1:7" x14ac:dyDescent="0.35">
      <c r="A35" s="4" t="s">
        <v>115</v>
      </c>
      <c r="B35" s="4" t="s">
        <v>119</v>
      </c>
      <c r="C35" s="4" t="s">
        <v>112</v>
      </c>
      <c r="D35" s="4">
        <v>10</v>
      </c>
      <c r="E35" s="4">
        <f>'Raw Data'!O5</f>
        <v>0</v>
      </c>
      <c r="F35" s="4">
        <f>N('Raw Data'!$E5)</f>
        <v>0</v>
      </c>
      <c r="G35" s="4" t="str">
        <f t="shared" si="0"/>
        <v>Leading</v>
      </c>
    </row>
    <row r="36" spans="1:7" x14ac:dyDescent="0.35">
      <c r="A36" s="4" t="s">
        <v>115</v>
      </c>
      <c r="B36" s="4" t="s">
        <v>119</v>
      </c>
      <c r="C36" s="4" t="s">
        <v>113</v>
      </c>
      <c r="D36" s="4">
        <v>11</v>
      </c>
      <c r="E36" s="4">
        <f>'Raw Data'!P5</f>
        <v>0</v>
      </c>
      <c r="F36" s="4">
        <f>N('Raw Data'!$E5)</f>
        <v>0</v>
      </c>
      <c r="G36" s="4" t="str">
        <f t="shared" si="0"/>
        <v>Leading</v>
      </c>
    </row>
    <row r="37" spans="1:7" x14ac:dyDescent="0.35">
      <c r="A37" s="4" t="s">
        <v>115</v>
      </c>
      <c r="B37" s="4" t="s">
        <v>119</v>
      </c>
      <c r="C37" s="4" t="s">
        <v>114</v>
      </c>
      <c r="D37" s="4">
        <v>12</v>
      </c>
      <c r="E37" s="4">
        <f>'Raw Data'!Q5</f>
        <v>0</v>
      </c>
      <c r="F37" s="4">
        <f>N('Raw Data'!$E5)</f>
        <v>0</v>
      </c>
      <c r="G37" s="4" t="str">
        <f t="shared" si="0"/>
        <v>Leading</v>
      </c>
    </row>
    <row r="38" spans="1:7" x14ac:dyDescent="0.35">
      <c r="A38" s="4" t="s">
        <v>115</v>
      </c>
      <c r="B38" s="4" t="s">
        <v>120</v>
      </c>
      <c r="C38" s="4" t="s">
        <v>103</v>
      </c>
      <c r="D38" s="4">
        <v>1</v>
      </c>
      <c r="E38" s="4">
        <f>'Raw Data'!F6</f>
        <v>1</v>
      </c>
      <c r="F38" s="4">
        <f>N('Raw Data'!$E6)</f>
        <v>0</v>
      </c>
      <c r="G38" s="4" t="str">
        <f t="shared" si="0"/>
        <v>Lagging</v>
      </c>
    </row>
    <row r="39" spans="1:7" x14ac:dyDescent="0.35">
      <c r="A39" s="4" t="s">
        <v>115</v>
      </c>
      <c r="B39" s="4" t="s">
        <v>120</v>
      </c>
      <c r="C39" s="4" t="s">
        <v>104</v>
      </c>
      <c r="D39" s="4">
        <v>2</v>
      </c>
      <c r="E39" s="4">
        <f>'Raw Data'!G6</f>
        <v>1</v>
      </c>
      <c r="F39" s="4">
        <f>N('Raw Data'!$E6)</f>
        <v>0</v>
      </c>
      <c r="G39" s="4" t="str">
        <f t="shared" si="0"/>
        <v>Lagging</v>
      </c>
    </row>
    <row r="40" spans="1:7" x14ac:dyDescent="0.35">
      <c r="A40" s="4" t="s">
        <v>115</v>
      </c>
      <c r="B40" s="4" t="s">
        <v>120</v>
      </c>
      <c r="C40" s="4" t="s">
        <v>105</v>
      </c>
      <c r="D40" s="4">
        <v>3</v>
      </c>
      <c r="E40" s="4">
        <f>'Raw Data'!H6</f>
        <v>0</v>
      </c>
      <c r="F40" s="4">
        <f>N('Raw Data'!$E6)</f>
        <v>0</v>
      </c>
      <c r="G40" s="4" t="str">
        <f t="shared" si="0"/>
        <v>Lagging</v>
      </c>
    </row>
    <row r="41" spans="1:7" x14ac:dyDescent="0.35">
      <c r="A41" s="4" t="s">
        <v>115</v>
      </c>
      <c r="B41" s="4" t="s">
        <v>120</v>
      </c>
      <c r="C41" s="4" t="s">
        <v>106</v>
      </c>
      <c r="D41" s="4">
        <v>4</v>
      </c>
      <c r="E41" s="4">
        <f>'Raw Data'!I6</f>
        <v>1</v>
      </c>
      <c r="F41" s="4">
        <f>N('Raw Data'!$E6)</f>
        <v>0</v>
      </c>
      <c r="G41" s="4" t="str">
        <f t="shared" si="0"/>
        <v>Lagging</v>
      </c>
    </row>
    <row r="42" spans="1:7" x14ac:dyDescent="0.35">
      <c r="A42" s="4" t="s">
        <v>115</v>
      </c>
      <c r="B42" s="4" t="s">
        <v>120</v>
      </c>
      <c r="C42" s="4" t="s">
        <v>107</v>
      </c>
      <c r="D42" s="4">
        <v>5</v>
      </c>
      <c r="E42" s="4">
        <f>'Raw Data'!J6</f>
        <v>1</v>
      </c>
      <c r="F42" s="4">
        <f>N('Raw Data'!$E6)</f>
        <v>0</v>
      </c>
      <c r="G42" s="4" t="str">
        <f t="shared" si="0"/>
        <v>Lagging</v>
      </c>
    </row>
    <row r="43" spans="1:7" x14ac:dyDescent="0.35">
      <c r="A43" s="4" t="s">
        <v>115</v>
      </c>
      <c r="B43" s="4" t="s">
        <v>120</v>
      </c>
      <c r="C43" s="4" t="s">
        <v>108</v>
      </c>
      <c r="D43" s="4">
        <v>6</v>
      </c>
      <c r="E43" s="4">
        <f>'Raw Data'!K6</f>
        <v>0</v>
      </c>
      <c r="F43" s="4">
        <f>N('Raw Data'!$E6)</f>
        <v>0</v>
      </c>
      <c r="G43" s="4" t="str">
        <f t="shared" si="0"/>
        <v>Lagging</v>
      </c>
    </row>
    <row r="44" spans="1:7" x14ac:dyDescent="0.35">
      <c r="A44" s="4" t="s">
        <v>115</v>
      </c>
      <c r="B44" s="4" t="s">
        <v>120</v>
      </c>
      <c r="C44" s="4" t="s">
        <v>109</v>
      </c>
      <c r="D44" s="4">
        <v>7</v>
      </c>
      <c r="E44" s="4">
        <f>'Raw Data'!L6</f>
        <v>0</v>
      </c>
      <c r="F44" s="4">
        <f>N('Raw Data'!$E6)</f>
        <v>0</v>
      </c>
      <c r="G44" s="4" t="str">
        <f t="shared" si="0"/>
        <v>Lagging</v>
      </c>
    </row>
    <row r="45" spans="1:7" x14ac:dyDescent="0.35">
      <c r="A45" s="4" t="s">
        <v>115</v>
      </c>
      <c r="B45" s="4" t="s">
        <v>120</v>
      </c>
      <c r="C45" s="4" t="s">
        <v>110</v>
      </c>
      <c r="D45" s="4">
        <v>8</v>
      </c>
      <c r="E45" s="4">
        <f>'Raw Data'!M6</f>
        <v>0</v>
      </c>
      <c r="F45" s="4">
        <f>N('Raw Data'!$E6)</f>
        <v>0</v>
      </c>
      <c r="G45" s="4" t="str">
        <f t="shared" si="0"/>
        <v>Lagging</v>
      </c>
    </row>
    <row r="46" spans="1:7" x14ac:dyDescent="0.35">
      <c r="A46" s="4" t="s">
        <v>115</v>
      </c>
      <c r="B46" s="4" t="s">
        <v>120</v>
      </c>
      <c r="C46" s="4" t="s">
        <v>111</v>
      </c>
      <c r="D46" s="4">
        <v>9</v>
      </c>
      <c r="E46" s="4">
        <f>'Raw Data'!N6</f>
        <v>0</v>
      </c>
      <c r="F46" s="4">
        <f>N('Raw Data'!$E6)</f>
        <v>0</v>
      </c>
      <c r="G46" s="4" t="str">
        <f t="shared" si="0"/>
        <v>Lagging</v>
      </c>
    </row>
    <row r="47" spans="1:7" x14ac:dyDescent="0.35">
      <c r="A47" s="4" t="s">
        <v>115</v>
      </c>
      <c r="B47" s="4" t="s">
        <v>120</v>
      </c>
      <c r="C47" s="4" t="s">
        <v>112</v>
      </c>
      <c r="D47" s="4">
        <v>10</v>
      </c>
      <c r="E47" s="4">
        <f>'Raw Data'!O6</f>
        <v>0</v>
      </c>
      <c r="F47" s="4">
        <f>N('Raw Data'!$E6)</f>
        <v>0</v>
      </c>
      <c r="G47" s="4" t="str">
        <f t="shared" si="0"/>
        <v>Lagging</v>
      </c>
    </row>
    <row r="48" spans="1:7" x14ac:dyDescent="0.35">
      <c r="A48" s="4" t="s">
        <v>115</v>
      </c>
      <c r="B48" s="4" t="s">
        <v>120</v>
      </c>
      <c r="C48" s="4" t="s">
        <v>113</v>
      </c>
      <c r="D48" s="4">
        <v>11</v>
      </c>
      <c r="E48" s="4">
        <f>'Raw Data'!P6</f>
        <v>0</v>
      </c>
      <c r="F48" s="4">
        <f>N('Raw Data'!$E6)</f>
        <v>0</v>
      </c>
      <c r="G48" s="4" t="str">
        <f t="shared" si="0"/>
        <v>Lagging</v>
      </c>
    </row>
    <row r="49" spans="1:7" x14ac:dyDescent="0.35">
      <c r="A49" s="4" t="s">
        <v>115</v>
      </c>
      <c r="B49" s="4" t="s">
        <v>120</v>
      </c>
      <c r="C49" s="4" t="s">
        <v>114</v>
      </c>
      <c r="D49" s="4">
        <v>12</v>
      </c>
      <c r="E49" s="4">
        <f>'Raw Data'!Q6</f>
        <v>0</v>
      </c>
      <c r="F49" s="4">
        <f>N('Raw Data'!$E6)</f>
        <v>0</v>
      </c>
      <c r="G49" s="4" t="str">
        <f t="shared" si="0"/>
        <v>Lagging</v>
      </c>
    </row>
    <row r="50" spans="1:7" x14ac:dyDescent="0.35">
      <c r="A50" s="4" t="s">
        <v>115</v>
      </c>
      <c r="B50" s="4" t="s">
        <v>121</v>
      </c>
      <c r="C50" s="4" t="s">
        <v>103</v>
      </c>
      <c r="D50" s="4">
        <v>1</v>
      </c>
      <c r="E50" s="4">
        <f>'Raw Data'!F7</f>
        <v>1</v>
      </c>
      <c r="F50" s="4">
        <f>N('Raw Data'!$E7)</f>
        <v>0</v>
      </c>
      <c r="G50" s="4" t="str">
        <f t="shared" si="0"/>
        <v>Lagging</v>
      </c>
    </row>
    <row r="51" spans="1:7" x14ac:dyDescent="0.35">
      <c r="A51" s="4" t="s">
        <v>115</v>
      </c>
      <c r="B51" s="4" t="s">
        <v>121</v>
      </c>
      <c r="C51" s="4" t="s">
        <v>104</v>
      </c>
      <c r="D51" s="4">
        <v>2</v>
      </c>
      <c r="E51" s="4">
        <f>'Raw Data'!G7</f>
        <v>1</v>
      </c>
      <c r="F51" s="4">
        <f>N('Raw Data'!$E7)</f>
        <v>0</v>
      </c>
      <c r="G51" s="4" t="str">
        <f t="shared" si="0"/>
        <v>Lagging</v>
      </c>
    </row>
    <row r="52" spans="1:7" x14ac:dyDescent="0.35">
      <c r="A52" s="4" t="s">
        <v>115</v>
      </c>
      <c r="B52" s="4" t="s">
        <v>121</v>
      </c>
      <c r="C52" s="4" t="s">
        <v>105</v>
      </c>
      <c r="D52" s="4">
        <v>3</v>
      </c>
      <c r="E52" s="4">
        <f>'Raw Data'!H7</f>
        <v>0</v>
      </c>
      <c r="F52" s="4">
        <f>N('Raw Data'!$E7)</f>
        <v>0</v>
      </c>
      <c r="G52" s="4" t="str">
        <f t="shared" si="0"/>
        <v>Lagging</v>
      </c>
    </row>
    <row r="53" spans="1:7" x14ac:dyDescent="0.35">
      <c r="A53" s="4" t="s">
        <v>115</v>
      </c>
      <c r="B53" s="4" t="s">
        <v>121</v>
      </c>
      <c r="C53" s="4" t="s">
        <v>106</v>
      </c>
      <c r="D53" s="4">
        <v>4</v>
      </c>
      <c r="E53" s="4">
        <f>'Raw Data'!I7</f>
        <v>1</v>
      </c>
      <c r="F53" s="4">
        <f>N('Raw Data'!$E7)</f>
        <v>0</v>
      </c>
      <c r="G53" s="4" t="str">
        <f t="shared" si="0"/>
        <v>Lagging</v>
      </c>
    </row>
    <row r="54" spans="1:7" x14ac:dyDescent="0.35">
      <c r="A54" s="4" t="s">
        <v>115</v>
      </c>
      <c r="B54" s="4" t="s">
        <v>121</v>
      </c>
      <c r="C54" s="4" t="s">
        <v>107</v>
      </c>
      <c r="D54" s="4">
        <v>5</v>
      </c>
      <c r="E54" s="4">
        <f>'Raw Data'!J7</f>
        <v>1</v>
      </c>
      <c r="F54" s="4">
        <f>N('Raw Data'!$E7)</f>
        <v>0</v>
      </c>
      <c r="G54" s="4" t="str">
        <f t="shared" si="0"/>
        <v>Lagging</v>
      </c>
    </row>
    <row r="55" spans="1:7" x14ac:dyDescent="0.35">
      <c r="A55" s="4" t="s">
        <v>115</v>
      </c>
      <c r="B55" s="4" t="s">
        <v>121</v>
      </c>
      <c r="C55" s="4" t="s">
        <v>108</v>
      </c>
      <c r="D55" s="4">
        <v>6</v>
      </c>
      <c r="E55" s="4">
        <f>'Raw Data'!K7</f>
        <v>0</v>
      </c>
      <c r="F55" s="4">
        <f>N('Raw Data'!$E7)</f>
        <v>0</v>
      </c>
      <c r="G55" s="4" t="str">
        <f t="shared" si="0"/>
        <v>Lagging</v>
      </c>
    </row>
    <row r="56" spans="1:7" x14ac:dyDescent="0.35">
      <c r="A56" s="4" t="s">
        <v>115</v>
      </c>
      <c r="B56" s="4" t="s">
        <v>121</v>
      </c>
      <c r="C56" s="4" t="s">
        <v>109</v>
      </c>
      <c r="D56" s="4">
        <v>7</v>
      </c>
      <c r="E56" s="4">
        <f>'Raw Data'!L7</f>
        <v>0</v>
      </c>
      <c r="F56" s="4">
        <f>N('Raw Data'!$E7)</f>
        <v>0</v>
      </c>
      <c r="G56" s="4" t="str">
        <f t="shared" si="0"/>
        <v>Lagging</v>
      </c>
    </row>
    <row r="57" spans="1:7" x14ac:dyDescent="0.35">
      <c r="A57" s="4" t="s">
        <v>115</v>
      </c>
      <c r="B57" s="4" t="s">
        <v>121</v>
      </c>
      <c r="C57" s="4" t="s">
        <v>110</v>
      </c>
      <c r="D57" s="4">
        <v>8</v>
      </c>
      <c r="E57" s="4">
        <f>'Raw Data'!M7</f>
        <v>0</v>
      </c>
      <c r="F57" s="4">
        <f>N('Raw Data'!$E7)</f>
        <v>0</v>
      </c>
      <c r="G57" s="4" t="str">
        <f t="shared" si="0"/>
        <v>Lagging</v>
      </c>
    </row>
    <row r="58" spans="1:7" x14ac:dyDescent="0.35">
      <c r="A58" s="4" t="s">
        <v>115</v>
      </c>
      <c r="B58" s="4" t="s">
        <v>121</v>
      </c>
      <c r="C58" s="4" t="s">
        <v>111</v>
      </c>
      <c r="D58" s="4">
        <v>9</v>
      </c>
      <c r="E58" s="4">
        <f>'Raw Data'!N7</f>
        <v>0</v>
      </c>
      <c r="F58" s="4">
        <f>N('Raw Data'!$E7)</f>
        <v>0</v>
      </c>
      <c r="G58" s="4" t="str">
        <f t="shared" si="0"/>
        <v>Lagging</v>
      </c>
    </row>
    <row r="59" spans="1:7" x14ac:dyDescent="0.35">
      <c r="A59" s="4" t="s">
        <v>115</v>
      </c>
      <c r="B59" s="4" t="s">
        <v>121</v>
      </c>
      <c r="C59" s="4" t="s">
        <v>112</v>
      </c>
      <c r="D59" s="4">
        <v>10</v>
      </c>
      <c r="E59" s="4">
        <f>'Raw Data'!O7</f>
        <v>0</v>
      </c>
      <c r="F59" s="4">
        <f>N('Raw Data'!$E7)</f>
        <v>0</v>
      </c>
      <c r="G59" s="4" t="str">
        <f t="shared" si="0"/>
        <v>Lagging</v>
      </c>
    </row>
    <row r="60" spans="1:7" x14ac:dyDescent="0.35">
      <c r="A60" s="4" t="s">
        <v>115</v>
      </c>
      <c r="B60" s="4" t="s">
        <v>121</v>
      </c>
      <c r="C60" s="4" t="s">
        <v>113</v>
      </c>
      <c r="D60" s="4">
        <v>11</v>
      </c>
      <c r="E60" s="4">
        <f>'Raw Data'!P7</f>
        <v>0</v>
      </c>
      <c r="F60" s="4">
        <f>N('Raw Data'!$E7)</f>
        <v>0</v>
      </c>
      <c r="G60" s="4" t="str">
        <f t="shared" si="0"/>
        <v>Lagging</v>
      </c>
    </row>
    <row r="61" spans="1:7" x14ac:dyDescent="0.35">
      <c r="A61" s="4" t="s">
        <v>115</v>
      </c>
      <c r="B61" s="4" t="s">
        <v>121</v>
      </c>
      <c r="C61" s="4" t="s">
        <v>114</v>
      </c>
      <c r="D61" s="4">
        <v>12</v>
      </c>
      <c r="E61" s="4">
        <f>'Raw Data'!Q7</f>
        <v>0</v>
      </c>
      <c r="F61" s="4">
        <f>N('Raw Data'!$E7)</f>
        <v>0</v>
      </c>
      <c r="G61" s="4" t="str">
        <f t="shared" si="0"/>
        <v>Lagging</v>
      </c>
    </row>
    <row r="62" spans="1:7" x14ac:dyDescent="0.35">
      <c r="A62" s="4" t="s">
        <v>115</v>
      </c>
      <c r="B62" s="4" t="s">
        <v>68</v>
      </c>
      <c r="C62" s="4" t="s">
        <v>103</v>
      </c>
      <c r="D62" s="4">
        <v>1</v>
      </c>
      <c r="E62" s="4">
        <f>'Raw Data'!F8</f>
        <v>0</v>
      </c>
      <c r="F62" s="4">
        <f>N('Raw Data'!$E8)</f>
        <v>0</v>
      </c>
      <c r="G62" s="4" t="str">
        <f t="shared" si="0"/>
        <v>Lagging</v>
      </c>
    </row>
    <row r="63" spans="1:7" x14ac:dyDescent="0.35">
      <c r="A63" s="4" t="s">
        <v>115</v>
      </c>
      <c r="B63" s="4" t="s">
        <v>68</v>
      </c>
      <c r="C63" s="4" t="s">
        <v>104</v>
      </c>
      <c r="D63" s="4">
        <v>2</v>
      </c>
      <c r="E63" s="4">
        <f>'Raw Data'!G8</f>
        <v>0</v>
      </c>
      <c r="F63" s="4">
        <f>N('Raw Data'!$E8)</f>
        <v>0</v>
      </c>
      <c r="G63" s="4" t="str">
        <f t="shared" si="0"/>
        <v>Lagging</v>
      </c>
    </row>
    <row r="64" spans="1:7" x14ac:dyDescent="0.35">
      <c r="A64" s="4" t="s">
        <v>115</v>
      </c>
      <c r="B64" s="4" t="s">
        <v>68</v>
      </c>
      <c r="C64" s="4" t="s">
        <v>105</v>
      </c>
      <c r="D64" s="4">
        <v>3</v>
      </c>
      <c r="E64" s="4">
        <f>'Raw Data'!H8</f>
        <v>0</v>
      </c>
      <c r="F64" s="4">
        <f>N('Raw Data'!$E8)</f>
        <v>0</v>
      </c>
      <c r="G64" s="4" t="str">
        <f t="shared" si="0"/>
        <v>Lagging</v>
      </c>
    </row>
    <row r="65" spans="1:7" x14ac:dyDescent="0.35">
      <c r="A65" s="4" t="s">
        <v>115</v>
      </c>
      <c r="B65" s="4" t="s">
        <v>68</v>
      </c>
      <c r="C65" s="4" t="s">
        <v>106</v>
      </c>
      <c r="D65" s="4">
        <v>4</v>
      </c>
      <c r="E65" s="4">
        <f>'Raw Data'!I8</f>
        <v>0</v>
      </c>
      <c r="F65" s="4">
        <f>N('Raw Data'!$E8)</f>
        <v>0</v>
      </c>
      <c r="G65" s="4" t="str">
        <f t="shared" si="0"/>
        <v>Lagging</v>
      </c>
    </row>
    <row r="66" spans="1:7" x14ac:dyDescent="0.35">
      <c r="A66" s="4" t="s">
        <v>115</v>
      </c>
      <c r="B66" s="4" t="s">
        <v>68</v>
      </c>
      <c r="C66" s="4" t="s">
        <v>107</v>
      </c>
      <c r="D66" s="4">
        <v>5</v>
      </c>
      <c r="E66" s="4">
        <f>'Raw Data'!J8</f>
        <v>0</v>
      </c>
      <c r="F66" s="4">
        <f>N('Raw Data'!$E8)</f>
        <v>0</v>
      </c>
      <c r="G66" s="4" t="str">
        <f t="shared" ref="G66:G129" si="1">IF(COUNTIF($I$2:$I$8,$B66),"Leading",IF(COUNTIF($K$2:$K$8,$B66),"Lagging",""))</f>
        <v>Lagging</v>
      </c>
    </row>
    <row r="67" spans="1:7" x14ac:dyDescent="0.35">
      <c r="A67" s="4" t="s">
        <v>115</v>
      </c>
      <c r="B67" s="4" t="s">
        <v>68</v>
      </c>
      <c r="C67" s="4" t="s">
        <v>108</v>
      </c>
      <c r="D67" s="4">
        <v>6</v>
      </c>
      <c r="E67" s="4">
        <f>'Raw Data'!K8</f>
        <v>0</v>
      </c>
      <c r="F67" s="4">
        <f>N('Raw Data'!$E8)</f>
        <v>0</v>
      </c>
      <c r="G67" s="4" t="str">
        <f t="shared" si="1"/>
        <v>Lagging</v>
      </c>
    </row>
    <row r="68" spans="1:7" x14ac:dyDescent="0.35">
      <c r="A68" s="4" t="s">
        <v>115</v>
      </c>
      <c r="B68" s="4" t="s">
        <v>68</v>
      </c>
      <c r="C68" s="4" t="s">
        <v>109</v>
      </c>
      <c r="D68" s="4">
        <v>7</v>
      </c>
      <c r="E68" s="4">
        <f>'Raw Data'!L8</f>
        <v>0</v>
      </c>
      <c r="F68" s="4">
        <f>N('Raw Data'!$E8)</f>
        <v>0</v>
      </c>
      <c r="G68" s="4" t="str">
        <f t="shared" si="1"/>
        <v>Lagging</v>
      </c>
    </row>
    <row r="69" spans="1:7" x14ac:dyDescent="0.35">
      <c r="A69" s="4" t="s">
        <v>115</v>
      </c>
      <c r="B69" s="4" t="s">
        <v>68</v>
      </c>
      <c r="C69" s="4" t="s">
        <v>110</v>
      </c>
      <c r="D69" s="4">
        <v>8</v>
      </c>
      <c r="E69" s="4">
        <f>'Raw Data'!M8</f>
        <v>0</v>
      </c>
      <c r="F69" s="4">
        <f>N('Raw Data'!$E8)</f>
        <v>0</v>
      </c>
      <c r="G69" s="4" t="str">
        <f t="shared" si="1"/>
        <v>Lagging</v>
      </c>
    </row>
    <row r="70" spans="1:7" x14ac:dyDescent="0.35">
      <c r="A70" s="4" t="s">
        <v>115</v>
      </c>
      <c r="B70" s="4" t="s">
        <v>68</v>
      </c>
      <c r="C70" s="4" t="s">
        <v>111</v>
      </c>
      <c r="D70" s="4">
        <v>9</v>
      </c>
      <c r="E70" s="4">
        <f>'Raw Data'!N8</f>
        <v>0</v>
      </c>
      <c r="F70" s="4">
        <f>N('Raw Data'!$E8)</f>
        <v>0</v>
      </c>
      <c r="G70" s="4" t="str">
        <f t="shared" si="1"/>
        <v>Lagging</v>
      </c>
    </row>
    <row r="71" spans="1:7" x14ac:dyDescent="0.35">
      <c r="A71" s="4" t="s">
        <v>115</v>
      </c>
      <c r="B71" s="4" t="s">
        <v>68</v>
      </c>
      <c r="C71" s="4" t="s">
        <v>112</v>
      </c>
      <c r="D71" s="4">
        <v>10</v>
      </c>
      <c r="E71" s="4">
        <f>'Raw Data'!O8</f>
        <v>0</v>
      </c>
      <c r="F71" s="4">
        <f>N('Raw Data'!$E8)</f>
        <v>0</v>
      </c>
      <c r="G71" s="4" t="str">
        <f t="shared" si="1"/>
        <v>Lagging</v>
      </c>
    </row>
    <row r="72" spans="1:7" x14ac:dyDescent="0.35">
      <c r="A72" s="4" t="s">
        <v>115</v>
      </c>
      <c r="B72" s="4" t="s">
        <v>68</v>
      </c>
      <c r="C72" s="4" t="s">
        <v>113</v>
      </c>
      <c r="D72" s="4">
        <v>11</v>
      </c>
      <c r="E72" s="4">
        <f>'Raw Data'!P8</f>
        <v>0</v>
      </c>
      <c r="F72" s="4">
        <f>N('Raw Data'!$E8)</f>
        <v>0</v>
      </c>
      <c r="G72" s="4" t="str">
        <f t="shared" si="1"/>
        <v>Lagging</v>
      </c>
    </row>
    <row r="73" spans="1:7" x14ac:dyDescent="0.35">
      <c r="A73" s="4" t="s">
        <v>115</v>
      </c>
      <c r="B73" s="4" t="s">
        <v>68</v>
      </c>
      <c r="C73" s="4" t="s">
        <v>114</v>
      </c>
      <c r="D73" s="4">
        <v>12</v>
      </c>
      <c r="E73" s="4">
        <f>'Raw Data'!Q8</f>
        <v>0</v>
      </c>
      <c r="F73" s="4">
        <f>N('Raw Data'!$E8)</f>
        <v>0</v>
      </c>
      <c r="G73" s="4" t="str">
        <f t="shared" si="1"/>
        <v>Lagging</v>
      </c>
    </row>
    <row r="74" spans="1:7" x14ac:dyDescent="0.35">
      <c r="A74" s="4" t="s">
        <v>115</v>
      </c>
      <c r="B74" s="4" t="s">
        <v>122</v>
      </c>
      <c r="C74" s="4" t="s">
        <v>103</v>
      </c>
      <c r="D74" s="4">
        <v>1</v>
      </c>
      <c r="E74" s="4">
        <f>'Raw Data'!F9</f>
        <v>0</v>
      </c>
      <c r="F74" s="4">
        <f>N('Raw Data'!$E9)</f>
        <v>0</v>
      </c>
      <c r="G74" s="4" t="str">
        <f t="shared" si="1"/>
        <v>Lagging</v>
      </c>
    </row>
    <row r="75" spans="1:7" x14ac:dyDescent="0.35">
      <c r="A75" s="4" t="s">
        <v>115</v>
      </c>
      <c r="B75" s="4" t="s">
        <v>122</v>
      </c>
      <c r="C75" s="4" t="s">
        <v>104</v>
      </c>
      <c r="D75" s="4">
        <v>2</v>
      </c>
      <c r="E75" s="4">
        <f>'Raw Data'!G9</f>
        <v>1</v>
      </c>
      <c r="F75" s="4">
        <f>N('Raw Data'!$E9)</f>
        <v>0</v>
      </c>
      <c r="G75" s="4" t="str">
        <f t="shared" si="1"/>
        <v>Lagging</v>
      </c>
    </row>
    <row r="76" spans="1:7" x14ac:dyDescent="0.35">
      <c r="A76" s="4" t="s">
        <v>115</v>
      </c>
      <c r="B76" s="4" t="s">
        <v>122</v>
      </c>
      <c r="C76" s="4" t="s">
        <v>105</v>
      </c>
      <c r="D76" s="4">
        <v>3</v>
      </c>
      <c r="E76" s="4">
        <f>'Raw Data'!H9</f>
        <v>1</v>
      </c>
      <c r="F76" s="4">
        <f>N('Raw Data'!$E9)</f>
        <v>0</v>
      </c>
      <c r="G76" s="4" t="str">
        <f t="shared" si="1"/>
        <v>Lagging</v>
      </c>
    </row>
    <row r="77" spans="1:7" x14ac:dyDescent="0.35">
      <c r="A77" s="4" t="s">
        <v>115</v>
      </c>
      <c r="B77" s="4" t="s">
        <v>122</v>
      </c>
      <c r="C77" s="4" t="s">
        <v>106</v>
      </c>
      <c r="D77" s="4">
        <v>4</v>
      </c>
      <c r="E77" s="4">
        <f>'Raw Data'!I9</f>
        <v>1</v>
      </c>
      <c r="F77" s="4">
        <f>N('Raw Data'!$E9)</f>
        <v>0</v>
      </c>
      <c r="G77" s="4" t="str">
        <f t="shared" si="1"/>
        <v>Lagging</v>
      </c>
    </row>
    <row r="78" spans="1:7" x14ac:dyDescent="0.35">
      <c r="A78" s="4" t="s">
        <v>115</v>
      </c>
      <c r="B78" s="4" t="s">
        <v>122</v>
      </c>
      <c r="C78" s="4" t="s">
        <v>107</v>
      </c>
      <c r="D78" s="4">
        <v>5</v>
      </c>
      <c r="E78" s="4">
        <f>'Raw Data'!J9</f>
        <v>2</v>
      </c>
      <c r="F78" s="4">
        <f>N('Raw Data'!$E9)</f>
        <v>0</v>
      </c>
      <c r="G78" s="4" t="str">
        <f t="shared" si="1"/>
        <v>Lagging</v>
      </c>
    </row>
    <row r="79" spans="1:7" x14ac:dyDescent="0.35">
      <c r="A79" s="4" t="s">
        <v>115</v>
      </c>
      <c r="B79" s="4" t="s">
        <v>122</v>
      </c>
      <c r="C79" s="4" t="s">
        <v>108</v>
      </c>
      <c r="D79" s="4">
        <v>6</v>
      </c>
      <c r="E79" s="4">
        <f>'Raw Data'!K9</f>
        <v>2</v>
      </c>
      <c r="F79" s="4">
        <f>N('Raw Data'!$E9)</f>
        <v>0</v>
      </c>
      <c r="G79" s="4" t="str">
        <f t="shared" si="1"/>
        <v>Lagging</v>
      </c>
    </row>
    <row r="80" spans="1:7" x14ac:dyDescent="0.35">
      <c r="A80" s="4" t="s">
        <v>115</v>
      </c>
      <c r="B80" s="4" t="s">
        <v>122</v>
      </c>
      <c r="C80" s="4" t="s">
        <v>109</v>
      </c>
      <c r="D80" s="4">
        <v>7</v>
      </c>
      <c r="E80" s="4">
        <f>'Raw Data'!L9</f>
        <v>0</v>
      </c>
      <c r="F80" s="4">
        <f>N('Raw Data'!$E9)</f>
        <v>0</v>
      </c>
      <c r="G80" s="4" t="str">
        <f t="shared" si="1"/>
        <v>Lagging</v>
      </c>
    </row>
    <row r="81" spans="1:7" x14ac:dyDescent="0.35">
      <c r="A81" s="4" t="s">
        <v>115</v>
      </c>
      <c r="B81" s="4" t="s">
        <v>122</v>
      </c>
      <c r="C81" s="4" t="s">
        <v>110</v>
      </c>
      <c r="D81" s="4">
        <v>8</v>
      </c>
      <c r="E81" s="4">
        <f>'Raw Data'!M9</f>
        <v>0</v>
      </c>
      <c r="F81" s="4">
        <f>N('Raw Data'!$E9)</f>
        <v>0</v>
      </c>
      <c r="G81" s="4" t="str">
        <f t="shared" si="1"/>
        <v>Lagging</v>
      </c>
    </row>
    <row r="82" spans="1:7" x14ac:dyDescent="0.35">
      <c r="A82" s="4" t="s">
        <v>115</v>
      </c>
      <c r="B82" s="4" t="s">
        <v>122</v>
      </c>
      <c r="C82" s="4" t="s">
        <v>111</v>
      </c>
      <c r="D82" s="4">
        <v>9</v>
      </c>
      <c r="E82" s="4">
        <f>'Raw Data'!N9</f>
        <v>0</v>
      </c>
      <c r="F82" s="4">
        <f>N('Raw Data'!$E9)</f>
        <v>0</v>
      </c>
      <c r="G82" s="4" t="str">
        <f t="shared" si="1"/>
        <v>Lagging</v>
      </c>
    </row>
    <row r="83" spans="1:7" x14ac:dyDescent="0.35">
      <c r="A83" s="4" t="s">
        <v>115</v>
      </c>
      <c r="B83" s="4" t="s">
        <v>122</v>
      </c>
      <c r="C83" s="4" t="s">
        <v>112</v>
      </c>
      <c r="D83" s="4">
        <v>10</v>
      </c>
      <c r="E83" s="4">
        <f>'Raw Data'!O9</f>
        <v>0</v>
      </c>
      <c r="F83" s="4">
        <f>N('Raw Data'!$E9)</f>
        <v>0</v>
      </c>
      <c r="G83" s="4" t="str">
        <f t="shared" si="1"/>
        <v>Lagging</v>
      </c>
    </row>
    <row r="84" spans="1:7" x14ac:dyDescent="0.35">
      <c r="A84" s="4" t="s">
        <v>115</v>
      </c>
      <c r="B84" s="4" t="s">
        <v>122</v>
      </c>
      <c r="C84" s="4" t="s">
        <v>113</v>
      </c>
      <c r="D84" s="4">
        <v>11</v>
      </c>
      <c r="E84" s="4">
        <f>'Raw Data'!P9</f>
        <v>0</v>
      </c>
      <c r="F84" s="4">
        <f>N('Raw Data'!$E9)</f>
        <v>0</v>
      </c>
      <c r="G84" s="4" t="str">
        <f t="shared" si="1"/>
        <v>Lagging</v>
      </c>
    </row>
    <row r="85" spans="1:7" x14ac:dyDescent="0.35">
      <c r="A85" s="4" t="s">
        <v>115</v>
      </c>
      <c r="B85" s="4" t="s">
        <v>122</v>
      </c>
      <c r="C85" s="4" t="s">
        <v>114</v>
      </c>
      <c r="D85" s="4">
        <v>12</v>
      </c>
      <c r="E85" s="4">
        <f>'Raw Data'!Q9</f>
        <v>0</v>
      </c>
      <c r="F85" s="4">
        <f>N('Raw Data'!$E9)</f>
        <v>0</v>
      </c>
      <c r="G85" s="4" t="str">
        <f t="shared" si="1"/>
        <v>Lagging</v>
      </c>
    </row>
    <row r="86" spans="1:7" x14ac:dyDescent="0.35">
      <c r="A86" s="4" t="s">
        <v>115</v>
      </c>
      <c r="B86" s="4" t="s">
        <v>123</v>
      </c>
      <c r="C86" s="4" t="s">
        <v>103</v>
      </c>
      <c r="D86" s="4">
        <v>1</v>
      </c>
      <c r="E86" s="4">
        <f>'Raw Data'!F10</f>
        <v>0</v>
      </c>
      <c r="F86" s="4">
        <f>N('Raw Data'!$E10)</f>
        <v>0</v>
      </c>
      <c r="G86" s="4" t="str">
        <f t="shared" si="1"/>
        <v>Lagging</v>
      </c>
    </row>
    <row r="87" spans="1:7" x14ac:dyDescent="0.35">
      <c r="A87" s="4" t="s">
        <v>115</v>
      </c>
      <c r="B87" s="4" t="s">
        <v>123</v>
      </c>
      <c r="C87" s="4" t="s">
        <v>104</v>
      </c>
      <c r="D87" s="4">
        <v>2</v>
      </c>
      <c r="E87" s="4">
        <f>'Raw Data'!G10</f>
        <v>0</v>
      </c>
      <c r="F87" s="4">
        <f>N('Raw Data'!$E10)</f>
        <v>0</v>
      </c>
      <c r="G87" s="4" t="str">
        <f t="shared" si="1"/>
        <v>Lagging</v>
      </c>
    </row>
    <row r="88" spans="1:7" x14ac:dyDescent="0.35">
      <c r="A88" s="4" t="s">
        <v>115</v>
      </c>
      <c r="B88" s="4" t="s">
        <v>123</v>
      </c>
      <c r="C88" s="4" t="s">
        <v>105</v>
      </c>
      <c r="D88" s="4">
        <v>3</v>
      </c>
      <c r="E88" s="4">
        <f>'Raw Data'!H10</f>
        <v>0</v>
      </c>
      <c r="F88" s="4">
        <f>N('Raw Data'!$E10)</f>
        <v>0</v>
      </c>
      <c r="G88" s="4" t="str">
        <f t="shared" si="1"/>
        <v>Lagging</v>
      </c>
    </row>
    <row r="89" spans="1:7" x14ac:dyDescent="0.35">
      <c r="A89" s="4" t="s">
        <v>115</v>
      </c>
      <c r="B89" s="4" t="s">
        <v>123</v>
      </c>
      <c r="C89" s="4" t="s">
        <v>106</v>
      </c>
      <c r="D89" s="4">
        <v>4</v>
      </c>
      <c r="E89" s="4">
        <f>'Raw Data'!I10</f>
        <v>0</v>
      </c>
      <c r="F89" s="4">
        <f>N('Raw Data'!$E10)</f>
        <v>0</v>
      </c>
      <c r="G89" s="4" t="str">
        <f t="shared" si="1"/>
        <v>Lagging</v>
      </c>
    </row>
    <row r="90" spans="1:7" x14ac:dyDescent="0.35">
      <c r="A90" s="4" t="s">
        <v>115</v>
      </c>
      <c r="B90" s="4" t="s">
        <v>123</v>
      </c>
      <c r="C90" s="4" t="s">
        <v>107</v>
      </c>
      <c r="D90" s="4">
        <v>5</v>
      </c>
      <c r="E90" s="4">
        <f>'Raw Data'!J10</f>
        <v>0</v>
      </c>
      <c r="F90" s="4">
        <f>N('Raw Data'!$E10)</f>
        <v>0</v>
      </c>
      <c r="G90" s="4" t="str">
        <f t="shared" si="1"/>
        <v>Lagging</v>
      </c>
    </row>
    <row r="91" spans="1:7" x14ac:dyDescent="0.35">
      <c r="A91" s="4" t="s">
        <v>115</v>
      </c>
      <c r="B91" s="4" t="s">
        <v>123</v>
      </c>
      <c r="C91" s="4" t="s">
        <v>108</v>
      </c>
      <c r="D91" s="4">
        <v>6</v>
      </c>
      <c r="E91" s="4">
        <f>'Raw Data'!K10</f>
        <v>0</v>
      </c>
      <c r="F91" s="4">
        <f>N('Raw Data'!$E10)</f>
        <v>0</v>
      </c>
      <c r="G91" s="4" t="str">
        <f t="shared" si="1"/>
        <v>Lagging</v>
      </c>
    </row>
    <row r="92" spans="1:7" x14ac:dyDescent="0.35">
      <c r="A92" s="4" t="s">
        <v>115</v>
      </c>
      <c r="B92" s="4" t="s">
        <v>123</v>
      </c>
      <c r="C92" s="4" t="s">
        <v>109</v>
      </c>
      <c r="D92" s="4">
        <v>7</v>
      </c>
      <c r="E92" s="4">
        <f>'Raw Data'!L10</f>
        <v>0</v>
      </c>
      <c r="F92" s="4">
        <f>N('Raw Data'!$E10)</f>
        <v>0</v>
      </c>
      <c r="G92" s="4" t="str">
        <f t="shared" si="1"/>
        <v>Lagging</v>
      </c>
    </row>
    <row r="93" spans="1:7" x14ac:dyDescent="0.35">
      <c r="A93" s="4" t="s">
        <v>115</v>
      </c>
      <c r="B93" s="4" t="s">
        <v>123</v>
      </c>
      <c r="C93" s="4" t="s">
        <v>110</v>
      </c>
      <c r="D93" s="4">
        <v>8</v>
      </c>
      <c r="E93" s="4">
        <f>'Raw Data'!M10</f>
        <v>0</v>
      </c>
      <c r="F93" s="4">
        <f>N('Raw Data'!$E10)</f>
        <v>0</v>
      </c>
      <c r="G93" s="4" t="str">
        <f t="shared" si="1"/>
        <v>Lagging</v>
      </c>
    </row>
    <row r="94" spans="1:7" x14ac:dyDescent="0.35">
      <c r="A94" s="4" t="s">
        <v>115</v>
      </c>
      <c r="B94" s="4" t="s">
        <v>123</v>
      </c>
      <c r="C94" s="4" t="s">
        <v>111</v>
      </c>
      <c r="D94" s="4">
        <v>9</v>
      </c>
      <c r="E94" s="4">
        <f>'Raw Data'!N10</f>
        <v>0</v>
      </c>
      <c r="F94" s="4">
        <f>N('Raw Data'!$E10)</f>
        <v>0</v>
      </c>
      <c r="G94" s="4" t="str">
        <f t="shared" si="1"/>
        <v>Lagging</v>
      </c>
    </row>
    <row r="95" spans="1:7" x14ac:dyDescent="0.35">
      <c r="A95" s="4" t="s">
        <v>115</v>
      </c>
      <c r="B95" s="4" t="s">
        <v>123</v>
      </c>
      <c r="C95" s="4" t="s">
        <v>112</v>
      </c>
      <c r="D95" s="4">
        <v>10</v>
      </c>
      <c r="E95" s="4">
        <f>'Raw Data'!O10</f>
        <v>0</v>
      </c>
      <c r="F95" s="4">
        <f>N('Raw Data'!$E10)</f>
        <v>0</v>
      </c>
      <c r="G95" s="4" t="str">
        <f t="shared" si="1"/>
        <v>Lagging</v>
      </c>
    </row>
    <row r="96" spans="1:7" x14ac:dyDescent="0.35">
      <c r="A96" s="4" t="s">
        <v>115</v>
      </c>
      <c r="B96" s="4" t="s">
        <v>123</v>
      </c>
      <c r="C96" s="4" t="s">
        <v>113</v>
      </c>
      <c r="D96" s="4">
        <v>11</v>
      </c>
      <c r="E96" s="4">
        <f>'Raw Data'!P10</f>
        <v>0</v>
      </c>
      <c r="F96" s="4">
        <f>N('Raw Data'!$E10)</f>
        <v>0</v>
      </c>
      <c r="G96" s="4" t="str">
        <f t="shared" si="1"/>
        <v>Lagging</v>
      </c>
    </row>
    <row r="97" spans="1:7" x14ac:dyDescent="0.35">
      <c r="A97" s="4" t="s">
        <v>115</v>
      </c>
      <c r="B97" s="4" t="s">
        <v>123</v>
      </c>
      <c r="C97" s="4" t="s">
        <v>114</v>
      </c>
      <c r="D97" s="4">
        <v>12</v>
      </c>
      <c r="E97" s="4">
        <f>'Raw Data'!Q10</f>
        <v>0</v>
      </c>
      <c r="F97" s="4">
        <f>N('Raw Data'!$E10)</f>
        <v>0</v>
      </c>
      <c r="G97" s="4" t="str">
        <f t="shared" si="1"/>
        <v>Lagging</v>
      </c>
    </row>
    <row r="98" spans="1:7" x14ac:dyDescent="0.35">
      <c r="A98" s="4" t="s">
        <v>115</v>
      </c>
      <c r="B98" s="4" t="s">
        <v>124</v>
      </c>
      <c r="C98" s="4" t="s">
        <v>103</v>
      </c>
      <c r="D98" s="4">
        <v>1</v>
      </c>
      <c r="E98" s="4">
        <f>'Raw Data'!F11</f>
        <v>0</v>
      </c>
      <c r="F98" s="4">
        <f>N('Raw Data'!$E11)</f>
        <v>0</v>
      </c>
      <c r="G98" s="4" t="str">
        <f t="shared" si="1"/>
        <v>Lagging</v>
      </c>
    </row>
    <row r="99" spans="1:7" x14ac:dyDescent="0.35">
      <c r="A99" s="4" t="s">
        <v>115</v>
      </c>
      <c r="B99" s="4" t="s">
        <v>124</v>
      </c>
      <c r="C99" s="4" t="s">
        <v>104</v>
      </c>
      <c r="D99" s="4">
        <v>2</v>
      </c>
      <c r="E99" s="4">
        <f>'Raw Data'!G11</f>
        <v>0</v>
      </c>
      <c r="F99" s="4">
        <f>N('Raw Data'!$E11)</f>
        <v>0</v>
      </c>
      <c r="G99" s="4" t="str">
        <f t="shared" si="1"/>
        <v>Lagging</v>
      </c>
    </row>
    <row r="100" spans="1:7" x14ac:dyDescent="0.35">
      <c r="A100" s="4" t="s">
        <v>115</v>
      </c>
      <c r="B100" s="4" t="s">
        <v>124</v>
      </c>
      <c r="C100" s="4" t="s">
        <v>105</v>
      </c>
      <c r="D100" s="4">
        <v>3</v>
      </c>
      <c r="E100" s="4">
        <f>'Raw Data'!H11</f>
        <v>0</v>
      </c>
      <c r="F100" s="4">
        <f>N('Raw Data'!$E11)</f>
        <v>0</v>
      </c>
      <c r="G100" s="4" t="str">
        <f t="shared" si="1"/>
        <v>Lagging</v>
      </c>
    </row>
    <row r="101" spans="1:7" x14ac:dyDescent="0.35">
      <c r="A101" s="4" t="s">
        <v>115</v>
      </c>
      <c r="B101" s="4" t="s">
        <v>124</v>
      </c>
      <c r="C101" s="4" t="s">
        <v>106</v>
      </c>
      <c r="D101" s="4">
        <v>4</v>
      </c>
      <c r="E101" s="4">
        <f>'Raw Data'!I11</f>
        <v>0</v>
      </c>
      <c r="F101" s="4">
        <f>N('Raw Data'!$E11)</f>
        <v>0</v>
      </c>
      <c r="G101" s="4" t="str">
        <f t="shared" si="1"/>
        <v>Lagging</v>
      </c>
    </row>
    <row r="102" spans="1:7" x14ac:dyDescent="0.35">
      <c r="A102" s="4" t="s">
        <v>115</v>
      </c>
      <c r="B102" s="4" t="s">
        <v>124</v>
      </c>
      <c r="C102" s="4" t="s">
        <v>107</v>
      </c>
      <c r="D102" s="4">
        <v>5</v>
      </c>
      <c r="E102" s="4">
        <f>'Raw Data'!J11</f>
        <v>0</v>
      </c>
      <c r="F102" s="4">
        <f>N('Raw Data'!$E11)</f>
        <v>0</v>
      </c>
      <c r="G102" s="4" t="str">
        <f t="shared" si="1"/>
        <v>Lagging</v>
      </c>
    </row>
    <row r="103" spans="1:7" x14ac:dyDescent="0.35">
      <c r="A103" s="4" t="s">
        <v>115</v>
      </c>
      <c r="B103" s="4" t="s">
        <v>124</v>
      </c>
      <c r="C103" s="4" t="s">
        <v>108</v>
      </c>
      <c r="D103" s="4">
        <v>6</v>
      </c>
      <c r="E103" s="4">
        <f>'Raw Data'!K11</f>
        <v>0</v>
      </c>
      <c r="F103" s="4">
        <f>N('Raw Data'!$E11)</f>
        <v>0</v>
      </c>
      <c r="G103" s="4" t="str">
        <f t="shared" si="1"/>
        <v>Lagging</v>
      </c>
    </row>
    <row r="104" spans="1:7" x14ac:dyDescent="0.35">
      <c r="A104" s="4" t="s">
        <v>115</v>
      </c>
      <c r="B104" s="4" t="s">
        <v>124</v>
      </c>
      <c r="C104" s="4" t="s">
        <v>109</v>
      </c>
      <c r="D104" s="4">
        <v>7</v>
      </c>
      <c r="E104" s="4">
        <f>'Raw Data'!L11</f>
        <v>0</v>
      </c>
      <c r="F104" s="4">
        <f>N('Raw Data'!$E11)</f>
        <v>0</v>
      </c>
      <c r="G104" s="4" t="str">
        <f t="shared" si="1"/>
        <v>Lagging</v>
      </c>
    </row>
    <row r="105" spans="1:7" x14ac:dyDescent="0.35">
      <c r="A105" s="4" t="s">
        <v>115</v>
      </c>
      <c r="B105" s="4" t="s">
        <v>124</v>
      </c>
      <c r="C105" s="4" t="s">
        <v>110</v>
      </c>
      <c r="D105" s="4">
        <v>8</v>
      </c>
      <c r="E105" s="4">
        <f>'Raw Data'!M11</f>
        <v>0</v>
      </c>
      <c r="F105" s="4">
        <f>N('Raw Data'!$E11)</f>
        <v>0</v>
      </c>
      <c r="G105" s="4" t="str">
        <f t="shared" si="1"/>
        <v>Lagging</v>
      </c>
    </row>
    <row r="106" spans="1:7" x14ac:dyDescent="0.35">
      <c r="A106" s="4" t="s">
        <v>115</v>
      </c>
      <c r="B106" s="4" t="s">
        <v>124</v>
      </c>
      <c r="C106" s="4" t="s">
        <v>111</v>
      </c>
      <c r="D106" s="4">
        <v>9</v>
      </c>
      <c r="E106" s="4">
        <f>'Raw Data'!N11</f>
        <v>0</v>
      </c>
      <c r="F106" s="4">
        <f>N('Raw Data'!$E11)</f>
        <v>0</v>
      </c>
      <c r="G106" s="4" t="str">
        <f t="shared" si="1"/>
        <v>Lagging</v>
      </c>
    </row>
    <row r="107" spans="1:7" x14ac:dyDescent="0.35">
      <c r="A107" s="4" t="s">
        <v>115</v>
      </c>
      <c r="B107" s="4" t="s">
        <v>124</v>
      </c>
      <c r="C107" s="4" t="s">
        <v>112</v>
      </c>
      <c r="D107" s="4">
        <v>10</v>
      </c>
      <c r="E107" s="4">
        <f>'Raw Data'!O11</f>
        <v>0</v>
      </c>
      <c r="F107" s="4">
        <f>N('Raw Data'!$E11)</f>
        <v>0</v>
      </c>
      <c r="G107" s="4" t="str">
        <f t="shared" si="1"/>
        <v>Lagging</v>
      </c>
    </row>
    <row r="108" spans="1:7" x14ac:dyDescent="0.35">
      <c r="A108" s="4" t="s">
        <v>115</v>
      </c>
      <c r="B108" s="4" t="s">
        <v>124</v>
      </c>
      <c r="C108" s="4" t="s">
        <v>113</v>
      </c>
      <c r="D108" s="4">
        <v>11</v>
      </c>
      <c r="E108" s="4">
        <f>'Raw Data'!P11</f>
        <v>0</v>
      </c>
      <c r="F108" s="4">
        <f>N('Raw Data'!$E11)</f>
        <v>0</v>
      </c>
      <c r="G108" s="4" t="str">
        <f t="shared" si="1"/>
        <v>Lagging</v>
      </c>
    </row>
    <row r="109" spans="1:7" x14ac:dyDescent="0.35">
      <c r="A109" s="4" t="s">
        <v>115</v>
      </c>
      <c r="B109" s="4" t="s">
        <v>124</v>
      </c>
      <c r="C109" s="4" t="s">
        <v>114</v>
      </c>
      <c r="D109" s="4">
        <v>12</v>
      </c>
      <c r="E109" s="4">
        <f>'Raw Data'!Q11</f>
        <v>0</v>
      </c>
      <c r="F109" s="4">
        <f>N('Raw Data'!$E11)</f>
        <v>0</v>
      </c>
      <c r="G109" s="4" t="str">
        <f t="shared" si="1"/>
        <v>Lagging</v>
      </c>
    </row>
    <row r="110" spans="1:7" x14ac:dyDescent="0.35">
      <c r="A110" s="4" t="s">
        <v>115</v>
      </c>
      <c r="B110" s="4" t="s">
        <v>51</v>
      </c>
      <c r="C110" s="4" t="s">
        <v>103</v>
      </c>
      <c r="D110" s="4">
        <v>1</v>
      </c>
      <c r="E110" s="4">
        <f>'Raw Data'!F12</f>
        <v>0</v>
      </c>
      <c r="F110" s="4">
        <f>N('Raw Data'!$E12)</f>
        <v>0</v>
      </c>
      <c r="G110" s="4" t="str">
        <f t="shared" si="1"/>
        <v>Lagging</v>
      </c>
    </row>
    <row r="111" spans="1:7" x14ac:dyDescent="0.35">
      <c r="A111" s="4" t="s">
        <v>115</v>
      </c>
      <c r="B111" s="4" t="s">
        <v>51</v>
      </c>
      <c r="C111" s="4" t="s">
        <v>104</v>
      </c>
      <c r="D111" s="4">
        <v>2</v>
      </c>
      <c r="E111" s="4">
        <f>'Raw Data'!G12</f>
        <v>0</v>
      </c>
      <c r="F111" s="4">
        <f>N('Raw Data'!$E12)</f>
        <v>0</v>
      </c>
      <c r="G111" s="4" t="str">
        <f t="shared" si="1"/>
        <v>Lagging</v>
      </c>
    </row>
    <row r="112" spans="1:7" x14ac:dyDescent="0.35">
      <c r="A112" s="4" t="s">
        <v>115</v>
      </c>
      <c r="B112" s="4" t="s">
        <v>51</v>
      </c>
      <c r="C112" s="4" t="s">
        <v>105</v>
      </c>
      <c r="D112" s="4">
        <v>3</v>
      </c>
      <c r="E112" s="4">
        <f>'Raw Data'!H12</f>
        <v>0</v>
      </c>
      <c r="F112" s="4">
        <f>N('Raw Data'!$E12)</f>
        <v>0</v>
      </c>
      <c r="G112" s="4" t="str">
        <f t="shared" si="1"/>
        <v>Lagging</v>
      </c>
    </row>
    <row r="113" spans="1:7" x14ac:dyDescent="0.35">
      <c r="A113" s="4" t="s">
        <v>115</v>
      </c>
      <c r="B113" s="4" t="s">
        <v>51</v>
      </c>
      <c r="C113" s="4" t="s">
        <v>106</v>
      </c>
      <c r="D113" s="4">
        <v>4</v>
      </c>
      <c r="E113" s="4">
        <f>'Raw Data'!I12</f>
        <v>0</v>
      </c>
      <c r="F113" s="4">
        <f>N('Raw Data'!$E12)</f>
        <v>0</v>
      </c>
      <c r="G113" s="4" t="str">
        <f t="shared" si="1"/>
        <v>Lagging</v>
      </c>
    </row>
    <row r="114" spans="1:7" x14ac:dyDescent="0.35">
      <c r="A114" s="4" t="s">
        <v>115</v>
      </c>
      <c r="B114" s="4" t="s">
        <v>51</v>
      </c>
      <c r="C114" s="4" t="s">
        <v>107</v>
      </c>
      <c r="D114" s="4">
        <v>5</v>
      </c>
      <c r="E114" s="4">
        <f>'Raw Data'!J12</f>
        <v>0</v>
      </c>
      <c r="F114" s="4">
        <f>N('Raw Data'!$E12)</f>
        <v>0</v>
      </c>
      <c r="G114" s="4" t="str">
        <f t="shared" si="1"/>
        <v>Lagging</v>
      </c>
    </row>
    <row r="115" spans="1:7" x14ac:dyDescent="0.35">
      <c r="A115" s="4" t="s">
        <v>115</v>
      </c>
      <c r="B115" s="4" t="s">
        <v>51</v>
      </c>
      <c r="C115" s="4" t="s">
        <v>108</v>
      </c>
      <c r="D115" s="4">
        <v>6</v>
      </c>
      <c r="E115" s="4">
        <f>'Raw Data'!K12</f>
        <v>0</v>
      </c>
      <c r="F115" s="4">
        <f>N('Raw Data'!$E12)</f>
        <v>0</v>
      </c>
      <c r="G115" s="4" t="str">
        <f t="shared" si="1"/>
        <v>Lagging</v>
      </c>
    </row>
    <row r="116" spans="1:7" x14ac:dyDescent="0.35">
      <c r="A116" s="4" t="s">
        <v>115</v>
      </c>
      <c r="B116" s="4" t="s">
        <v>51</v>
      </c>
      <c r="C116" s="4" t="s">
        <v>109</v>
      </c>
      <c r="D116" s="4">
        <v>7</v>
      </c>
      <c r="E116" s="4">
        <f>'Raw Data'!L12</f>
        <v>0</v>
      </c>
      <c r="F116" s="4">
        <f>N('Raw Data'!$E12)</f>
        <v>0</v>
      </c>
      <c r="G116" s="4" t="str">
        <f t="shared" si="1"/>
        <v>Lagging</v>
      </c>
    </row>
    <row r="117" spans="1:7" x14ac:dyDescent="0.35">
      <c r="A117" s="4" t="s">
        <v>115</v>
      </c>
      <c r="B117" s="4" t="s">
        <v>51</v>
      </c>
      <c r="C117" s="4" t="s">
        <v>110</v>
      </c>
      <c r="D117" s="4">
        <v>8</v>
      </c>
      <c r="E117" s="4">
        <f>'Raw Data'!M12</f>
        <v>0</v>
      </c>
      <c r="F117" s="4">
        <f>N('Raw Data'!$E12)</f>
        <v>0</v>
      </c>
      <c r="G117" s="4" t="str">
        <f t="shared" si="1"/>
        <v>Lagging</v>
      </c>
    </row>
    <row r="118" spans="1:7" x14ac:dyDescent="0.35">
      <c r="A118" s="4" t="s">
        <v>115</v>
      </c>
      <c r="B118" s="4" t="s">
        <v>51</v>
      </c>
      <c r="C118" s="4" t="s">
        <v>111</v>
      </c>
      <c r="D118" s="4">
        <v>9</v>
      </c>
      <c r="E118" s="4">
        <f>'Raw Data'!N12</f>
        <v>0</v>
      </c>
      <c r="F118" s="4">
        <f>N('Raw Data'!$E12)</f>
        <v>0</v>
      </c>
      <c r="G118" s="4" t="str">
        <f t="shared" si="1"/>
        <v>Lagging</v>
      </c>
    </row>
    <row r="119" spans="1:7" x14ac:dyDescent="0.35">
      <c r="A119" s="4" t="s">
        <v>115</v>
      </c>
      <c r="B119" s="4" t="s">
        <v>51</v>
      </c>
      <c r="C119" s="4" t="s">
        <v>112</v>
      </c>
      <c r="D119" s="4">
        <v>10</v>
      </c>
      <c r="E119" s="4">
        <f>'Raw Data'!O12</f>
        <v>0</v>
      </c>
      <c r="F119" s="4">
        <f>N('Raw Data'!$E12)</f>
        <v>0</v>
      </c>
      <c r="G119" s="4" t="str">
        <f t="shared" si="1"/>
        <v>Lagging</v>
      </c>
    </row>
    <row r="120" spans="1:7" x14ac:dyDescent="0.35">
      <c r="A120" s="4" t="s">
        <v>115</v>
      </c>
      <c r="B120" s="4" t="s">
        <v>51</v>
      </c>
      <c r="C120" s="4" t="s">
        <v>113</v>
      </c>
      <c r="D120" s="4">
        <v>11</v>
      </c>
      <c r="E120" s="4">
        <f>'Raw Data'!P12</f>
        <v>0</v>
      </c>
      <c r="F120" s="4">
        <f>N('Raw Data'!$E12)</f>
        <v>0</v>
      </c>
      <c r="G120" s="4" t="str">
        <f t="shared" si="1"/>
        <v>Lagging</v>
      </c>
    </row>
    <row r="121" spans="1:7" x14ac:dyDescent="0.35">
      <c r="A121" s="4" t="s">
        <v>115</v>
      </c>
      <c r="B121" s="4" t="s">
        <v>51</v>
      </c>
      <c r="C121" s="4" t="s">
        <v>114</v>
      </c>
      <c r="D121" s="4">
        <v>12</v>
      </c>
      <c r="E121" s="4">
        <f>'Raw Data'!Q12</f>
        <v>0</v>
      </c>
      <c r="F121" s="4">
        <f>N('Raw Data'!$E12)</f>
        <v>0</v>
      </c>
      <c r="G121" s="4" t="str">
        <f t="shared" si="1"/>
        <v>Lagging</v>
      </c>
    </row>
    <row r="122" spans="1:7" x14ac:dyDescent="0.35">
      <c r="A122" s="4" t="s">
        <v>115</v>
      </c>
      <c r="B122" s="4" t="s">
        <v>125</v>
      </c>
      <c r="C122" s="4" t="s">
        <v>103</v>
      </c>
      <c r="D122" s="4">
        <v>1</v>
      </c>
      <c r="E122" s="4">
        <f>'Raw Data'!F13</f>
        <v>2</v>
      </c>
      <c r="F122" s="4">
        <f>N('Raw Data'!$E13)</f>
        <v>2</v>
      </c>
      <c r="G122" s="4" t="str">
        <f t="shared" si="1"/>
        <v>Leading</v>
      </c>
    </row>
    <row r="123" spans="1:7" x14ac:dyDescent="0.35">
      <c r="A123" s="4" t="s">
        <v>115</v>
      </c>
      <c r="B123" s="4" t="s">
        <v>125</v>
      </c>
      <c r="C123" s="4" t="s">
        <v>104</v>
      </c>
      <c r="D123" s="4">
        <v>2</v>
      </c>
      <c r="E123" s="4">
        <f>'Raw Data'!G13</f>
        <v>6</v>
      </c>
      <c r="F123" s="4">
        <f>N('Raw Data'!$E13)</f>
        <v>2</v>
      </c>
      <c r="G123" s="4" t="str">
        <f t="shared" si="1"/>
        <v>Leading</v>
      </c>
    </row>
    <row r="124" spans="1:7" x14ac:dyDescent="0.35">
      <c r="A124" s="4" t="s">
        <v>115</v>
      </c>
      <c r="B124" s="4" t="s">
        <v>125</v>
      </c>
      <c r="C124" s="4" t="s">
        <v>105</v>
      </c>
      <c r="D124" s="4">
        <v>3</v>
      </c>
      <c r="E124" s="4">
        <f>'Raw Data'!H13</f>
        <v>4</v>
      </c>
      <c r="F124" s="4">
        <f>N('Raw Data'!$E13)</f>
        <v>2</v>
      </c>
      <c r="G124" s="4" t="str">
        <f t="shared" si="1"/>
        <v>Leading</v>
      </c>
    </row>
    <row r="125" spans="1:7" x14ac:dyDescent="0.35">
      <c r="A125" s="4" t="s">
        <v>115</v>
      </c>
      <c r="B125" s="4" t="s">
        <v>125</v>
      </c>
      <c r="C125" s="4" t="s">
        <v>106</v>
      </c>
      <c r="D125" s="4">
        <v>4</v>
      </c>
      <c r="E125" s="4">
        <f>'Raw Data'!I13</f>
        <v>2</v>
      </c>
      <c r="F125" s="4">
        <f>N('Raw Data'!$E13)</f>
        <v>2</v>
      </c>
      <c r="G125" s="4" t="str">
        <f t="shared" si="1"/>
        <v>Leading</v>
      </c>
    </row>
    <row r="126" spans="1:7" x14ac:dyDescent="0.35">
      <c r="A126" s="4" t="s">
        <v>115</v>
      </c>
      <c r="B126" s="4" t="s">
        <v>125</v>
      </c>
      <c r="C126" s="4" t="s">
        <v>107</v>
      </c>
      <c r="D126" s="4">
        <v>5</v>
      </c>
      <c r="E126" s="4">
        <f>'Raw Data'!J13</f>
        <v>3</v>
      </c>
      <c r="F126" s="4">
        <f>N('Raw Data'!$E13)</f>
        <v>2</v>
      </c>
      <c r="G126" s="4" t="str">
        <f t="shared" si="1"/>
        <v>Leading</v>
      </c>
    </row>
    <row r="127" spans="1:7" x14ac:dyDescent="0.35">
      <c r="A127" s="4" t="s">
        <v>115</v>
      </c>
      <c r="B127" s="4" t="s">
        <v>125</v>
      </c>
      <c r="C127" s="4" t="s">
        <v>108</v>
      </c>
      <c r="D127" s="4">
        <v>6</v>
      </c>
      <c r="E127" s="4">
        <f>'Raw Data'!K13</f>
        <v>0</v>
      </c>
      <c r="F127" s="4">
        <f>N('Raw Data'!$E13)</f>
        <v>2</v>
      </c>
      <c r="G127" s="4" t="str">
        <f t="shared" si="1"/>
        <v>Leading</v>
      </c>
    </row>
    <row r="128" spans="1:7" x14ac:dyDescent="0.35">
      <c r="A128" s="4" t="s">
        <v>115</v>
      </c>
      <c r="B128" s="4" t="s">
        <v>125</v>
      </c>
      <c r="C128" s="4" t="s">
        <v>109</v>
      </c>
      <c r="D128" s="4">
        <v>7</v>
      </c>
      <c r="E128" s="4">
        <f>'Raw Data'!L13</f>
        <v>0</v>
      </c>
      <c r="F128" s="4">
        <f>N('Raw Data'!$E13)</f>
        <v>2</v>
      </c>
      <c r="G128" s="4" t="str">
        <f t="shared" si="1"/>
        <v>Leading</v>
      </c>
    </row>
    <row r="129" spans="1:7" x14ac:dyDescent="0.35">
      <c r="A129" s="4" t="s">
        <v>115</v>
      </c>
      <c r="B129" s="4" t="s">
        <v>125</v>
      </c>
      <c r="C129" s="4" t="s">
        <v>110</v>
      </c>
      <c r="D129" s="4">
        <v>8</v>
      </c>
      <c r="E129" s="4">
        <f>'Raw Data'!M13</f>
        <v>0</v>
      </c>
      <c r="F129" s="4">
        <f>N('Raw Data'!$E13)</f>
        <v>2</v>
      </c>
      <c r="G129" s="4" t="str">
        <f t="shared" si="1"/>
        <v>Leading</v>
      </c>
    </row>
    <row r="130" spans="1:7" x14ac:dyDescent="0.35">
      <c r="A130" s="4" t="s">
        <v>115</v>
      </c>
      <c r="B130" s="4" t="s">
        <v>125</v>
      </c>
      <c r="C130" s="4" t="s">
        <v>111</v>
      </c>
      <c r="D130" s="4">
        <v>9</v>
      </c>
      <c r="E130" s="4">
        <f>'Raw Data'!N13</f>
        <v>0</v>
      </c>
      <c r="F130" s="4">
        <f>N('Raw Data'!$E13)</f>
        <v>2</v>
      </c>
      <c r="G130" s="4" t="str">
        <f t="shared" ref="G130:G193" si="2">IF(COUNTIF($I$2:$I$8,$B130),"Leading",IF(COUNTIF($K$2:$K$8,$B130),"Lagging",""))</f>
        <v>Leading</v>
      </c>
    </row>
    <row r="131" spans="1:7" x14ac:dyDescent="0.35">
      <c r="A131" s="4" t="s">
        <v>115</v>
      </c>
      <c r="B131" s="4" t="s">
        <v>125</v>
      </c>
      <c r="C131" s="4" t="s">
        <v>112</v>
      </c>
      <c r="D131" s="4">
        <v>10</v>
      </c>
      <c r="E131" s="4">
        <f>'Raw Data'!O13</f>
        <v>0</v>
      </c>
      <c r="F131" s="4">
        <f>N('Raw Data'!$E13)</f>
        <v>2</v>
      </c>
      <c r="G131" s="4" t="str">
        <f t="shared" si="2"/>
        <v>Leading</v>
      </c>
    </row>
    <row r="132" spans="1:7" x14ac:dyDescent="0.35">
      <c r="A132" s="4" t="s">
        <v>115</v>
      </c>
      <c r="B132" s="4" t="s">
        <v>125</v>
      </c>
      <c r="C132" s="4" t="s">
        <v>113</v>
      </c>
      <c r="D132" s="4">
        <v>11</v>
      </c>
      <c r="E132" s="4">
        <f>'Raw Data'!P13</f>
        <v>0</v>
      </c>
      <c r="F132" s="4">
        <f>N('Raw Data'!$E13)</f>
        <v>2</v>
      </c>
      <c r="G132" s="4" t="str">
        <f t="shared" si="2"/>
        <v>Leading</v>
      </c>
    </row>
    <row r="133" spans="1:7" x14ac:dyDescent="0.35">
      <c r="A133" s="4" t="s">
        <v>115</v>
      </c>
      <c r="B133" s="4" t="s">
        <v>125</v>
      </c>
      <c r="C133" s="4" t="s">
        <v>114</v>
      </c>
      <c r="D133" s="4">
        <v>12</v>
      </c>
      <c r="E133" s="4">
        <f>'Raw Data'!Q13</f>
        <v>0</v>
      </c>
      <c r="F133" s="4">
        <f>N('Raw Data'!$E13)</f>
        <v>2</v>
      </c>
      <c r="G133" s="4" t="str">
        <f t="shared" si="2"/>
        <v>Leading</v>
      </c>
    </row>
    <row r="134" spans="1:7" x14ac:dyDescent="0.35">
      <c r="A134" s="4" t="s">
        <v>115</v>
      </c>
      <c r="B134" s="4" t="s">
        <v>126</v>
      </c>
      <c r="C134" s="4" t="s">
        <v>103</v>
      </c>
      <c r="D134" s="4">
        <v>1</v>
      </c>
      <c r="E134" s="4">
        <f>'Raw Data'!F14</f>
        <v>2</v>
      </c>
      <c r="F134" s="4">
        <f>N('Raw Data'!$E14)</f>
        <v>4</v>
      </c>
      <c r="G134" s="4" t="str">
        <f t="shared" si="2"/>
        <v>Leading</v>
      </c>
    </row>
    <row r="135" spans="1:7" x14ac:dyDescent="0.35">
      <c r="A135" s="4" t="s">
        <v>115</v>
      </c>
      <c r="B135" s="4" t="s">
        <v>126</v>
      </c>
      <c r="C135" s="4" t="s">
        <v>104</v>
      </c>
      <c r="D135" s="4">
        <v>2</v>
      </c>
      <c r="E135" s="4">
        <f>'Raw Data'!G14</f>
        <v>6</v>
      </c>
      <c r="F135" s="4">
        <f>N('Raw Data'!$E14)</f>
        <v>4</v>
      </c>
      <c r="G135" s="4" t="str">
        <f t="shared" si="2"/>
        <v>Leading</v>
      </c>
    </row>
    <row r="136" spans="1:7" x14ac:dyDescent="0.35">
      <c r="A136" s="4" t="s">
        <v>115</v>
      </c>
      <c r="B136" s="4" t="s">
        <v>126</v>
      </c>
      <c r="C136" s="4" t="s">
        <v>105</v>
      </c>
      <c r="D136" s="4">
        <v>3</v>
      </c>
      <c r="E136" s="4">
        <f>'Raw Data'!H14</f>
        <v>4</v>
      </c>
      <c r="F136" s="4">
        <f>N('Raw Data'!$E14)</f>
        <v>4</v>
      </c>
      <c r="G136" s="4" t="str">
        <f t="shared" si="2"/>
        <v>Leading</v>
      </c>
    </row>
    <row r="137" spans="1:7" x14ac:dyDescent="0.35">
      <c r="A137" s="4" t="s">
        <v>115</v>
      </c>
      <c r="B137" s="4" t="s">
        <v>126</v>
      </c>
      <c r="C137" s="4" t="s">
        <v>106</v>
      </c>
      <c r="D137" s="4">
        <v>4</v>
      </c>
      <c r="E137" s="4">
        <f>'Raw Data'!I14</f>
        <v>5</v>
      </c>
      <c r="F137" s="4">
        <f>N('Raw Data'!$E14)</f>
        <v>4</v>
      </c>
      <c r="G137" s="4" t="str">
        <f t="shared" si="2"/>
        <v>Leading</v>
      </c>
    </row>
    <row r="138" spans="1:7" x14ac:dyDescent="0.35">
      <c r="A138" s="4" t="s">
        <v>115</v>
      </c>
      <c r="B138" s="4" t="s">
        <v>126</v>
      </c>
      <c r="C138" s="4" t="s">
        <v>107</v>
      </c>
      <c r="D138" s="4">
        <v>5</v>
      </c>
      <c r="E138" s="4">
        <f>'Raw Data'!J14</f>
        <v>9</v>
      </c>
      <c r="F138" s="4">
        <f>N('Raw Data'!$E14)</f>
        <v>4</v>
      </c>
      <c r="G138" s="4" t="str">
        <f t="shared" si="2"/>
        <v>Leading</v>
      </c>
    </row>
    <row r="139" spans="1:7" x14ac:dyDescent="0.35">
      <c r="A139" s="4" t="s">
        <v>115</v>
      </c>
      <c r="B139" s="4" t="s">
        <v>126</v>
      </c>
      <c r="C139" s="4" t="s">
        <v>108</v>
      </c>
      <c r="D139" s="4">
        <v>6</v>
      </c>
      <c r="E139" s="4">
        <f>'Raw Data'!K14</f>
        <v>5</v>
      </c>
      <c r="F139" s="4">
        <f>N('Raw Data'!$E14)</f>
        <v>4</v>
      </c>
      <c r="G139" s="4" t="str">
        <f t="shared" si="2"/>
        <v>Leading</v>
      </c>
    </row>
    <row r="140" spans="1:7" x14ac:dyDescent="0.35">
      <c r="A140" s="4" t="s">
        <v>115</v>
      </c>
      <c r="B140" s="4" t="s">
        <v>126</v>
      </c>
      <c r="C140" s="4" t="s">
        <v>109</v>
      </c>
      <c r="D140" s="4">
        <v>7</v>
      </c>
      <c r="E140" s="4">
        <f>'Raw Data'!L14</f>
        <v>0</v>
      </c>
      <c r="F140" s="4">
        <f>N('Raw Data'!$E14)</f>
        <v>4</v>
      </c>
      <c r="G140" s="4" t="str">
        <f t="shared" si="2"/>
        <v>Leading</v>
      </c>
    </row>
    <row r="141" spans="1:7" x14ac:dyDescent="0.35">
      <c r="A141" s="4" t="s">
        <v>115</v>
      </c>
      <c r="B141" s="4" t="s">
        <v>126</v>
      </c>
      <c r="C141" s="4" t="s">
        <v>110</v>
      </c>
      <c r="D141" s="4">
        <v>8</v>
      </c>
      <c r="E141" s="4">
        <f>'Raw Data'!M14</f>
        <v>0</v>
      </c>
      <c r="F141" s="4">
        <f>N('Raw Data'!$E14)</f>
        <v>4</v>
      </c>
      <c r="G141" s="4" t="str">
        <f t="shared" si="2"/>
        <v>Leading</v>
      </c>
    </row>
    <row r="142" spans="1:7" x14ac:dyDescent="0.35">
      <c r="A142" s="4" t="s">
        <v>115</v>
      </c>
      <c r="B142" s="4" t="s">
        <v>126</v>
      </c>
      <c r="C142" s="4" t="s">
        <v>111</v>
      </c>
      <c r="D142" s="4">
        <v>9</v>
      </c>
      <c r="E142" s="4">
        <f>'Raw Data'!N14</f>
        <v>0</v>
      </c>
      <c r="F142" s="4">
        <f>N('Raw Data'!$E14)</f>
        <v>4</v>
      </c>
      <c r="G142" s="4" t="str">
        <f t="shared" si="2"/>
        <v>Leading</v>
      </c>
    </row>
    <row r="143" spans="1:7" x14ac:dyDescent="0.35">
      <c r="A143" s="4" t="s">
        <v>115</v>
      </c>
      <c r="B143" s="4" t="s">
        <v>126</v>
      </c>
      <c r="C143" s="4" t="s">
        <v>112</v>
      </c>
      <c r="D143" s="4">
        <v>10</v>
      </c>
      <c r="E143" s="4">
        <f>'Raw Data'!O14</f>
        <v>0</v>
      </c>
      <c r="F143" s="4">
        <f>N('Raw Data'!$E14)</f>
        <v>4</v>
      </c>
      <c r="G143" s="4" t="str">
        <f t="shared" si="2"/>
        <v>Leading</v>
      </c>
    </row>
    <row r="144" spans="1:7" x14ac:dyDescent="0.35">
      <c r="A144" s="4" t="s">
        <v>115</v>
      </c>
      <c r="B144" s="4" t="s">
        <v>126</v>
      </c>
      <c r="C144" s="4" t="s">
        <v>113</v>
      </c>
      <c r="D144" s="4">
        <v>11</v>
      </c>
      <c r="E144" s="4">
        <f>'Raw Data'!P14</f>
        <v>0</v>
      </c>
      <c r="F144" s="4">
        <f>N('Raw Data'!$E14)</f>
        <v>4</v>
      </c>
      <c r="G144" s="4" t="str">
        <f t="shared" si="2"/>
        <v>Leading</v>
      </c>
    </row>
    <row r="145" spans="1:7" x14ac:dyDescent="0.35">
      <c r="A145" s="4" t="s">
        <v>115</v>
      </c>
      <c r="B145" s="4" t="s">
        <v>126</v>
      </c>
      <c r="C145" s="4" t="s">
        <v>114</v>
      </c>
      <c r="D145" s="4">
        <v>12</v>
      </c>
      <c r="E145" s="4">
        <f>'Raw Data'!Q14</f>
        <v>0</v>
      </c>
      <c r="F145" s="4">
        <f>N('Raw Data'!$E14)</f>
        <v>4</v>
      </c>
      <c r="G145" s="4" t="str">
        <f t="shared" si="2"/>
        <v>Leading</v>
      </c>
    </row>
    <row r="146" spans="1:7" x14ac:dyDescent="0.35">
      <c r="A146" s="4" t="s">
        <v>115</v>
      </c>
      <c r="B146" s="4" t="s">
        <v>127</v>
      </c>
      <c r="C146" s="4" t="s">
        <v>103</v>
      </c>
      <c r="D146" s="4">
        <v>1</v>
      </c>
      <c r="E146" s="4">
        <f>'Raw Data'!F15</f>
        <v>1</v>
      </c>
      <c r="F146" s="4">
        <f>N('Raw Data'!$E15)</f>
        <v>4</v>
      </c>
      <c r="G146" s="4" t="str">
        <f t="shared" si="2"/>
        <v>Leading</v>
      </c>
    </row>
    <row r="147" spans="1:7" x14ac:dyDescent="0.35">
      <c r="A147" s="4" t="s">
        <v>115</v>
      </c>
      <c r="B147" s="4" t="s">
        <v>127</v>
      </c>
      <c r="C147" s="4" t="s">
        <v>104</v>
      </c>
      <c r="D147" s="4">
        <v>2</v>
      </c>
      <c r="E147" s="4">
        <f>'Raw Data'!G15</f>
        <v>3</v>
      </c>
      <c r="F147" s="4">
        <f>N('Raw Data'!$E15)</f>
        <v>4</v>
      </c>
      <c r="G147" s="4" t="str">
        <f t="shared" si="2"/>
        <v>Leading</v>
      </c>
    </row>
    <row r="148" spans="1:7" x14ac:dyDescent="0.35">
      <c r="A148" s="4" t="s">
        <v>115</v>
      </c>
      <c r="B148" s="4" t="s">
        <v>127</v>
      </c>
      <c r="C148" s="4" t="s">
        <v>105</v>
      </c>
      <c r="D148" s="4">
        <v>3</v>
      </c>
      <c r="E148" s="4">
        <f>'Raw Data'!H15</f>
        <v>3</v>
      </c>
      <c r="F148" s="4">
        <f>N('Raw Data'!$E15)</f>
        <v>4</v>
      </c>
      <c r="G148" s="4" t="str">
        <f t="shared" si="2"/>
        <v>Leading</v>
      </c>
    </row>
    <row r="149" spans="1:7" x14ac:dyDescent="0.35">
      <c r="A149" s="4" t="s">
        <v>115</v>
      </c>
      <c r="B149" s="4" t="s">
        <v>127</v>
      </c>
      <c r="C149" s="4" t="s">
        <v>106</v>
      </c>
      <c r="D149" s="4">
        <v>4</v>
      </c>
      <c r="E149" s="4">
        <f>'Raw Data'!I15</f>
        <v>4</v>
      </c>
      <c r="F149" s="4">
        <f>N('Raw Data'!$E15)</f>
        <v>4</v>
      </c>
      <c r="G149" s="4" t="str">
        <f t="shared" si="2"/>
        <v>Leading</v>
      </c>
    </row>
    <row r="150" spans="1:7" x14ac:dyDescent="0.35">
      <c r="A150" s="4" t="s">
        <v>115</v>
      </c>
      <c r="B150" s="4" t="s">
        <v>127</v>
      </c>
      <c r="C150" s="4" t="s">
        <v>107</v>
      </c>
      <c r="D150" s="4">
        <v>5</v>
      </c>
      <c r="E150" s="4">
        <f>'Raw Data'!J15</f>
        <v>4</v>
      </c>
      <c r="F150" s="4">
        <f>N('Raw Data'!$E15)</f>
        <v>4</v>
      </c>
      <c r="G150" s="4" t="str">
        <f t="shared" si="2"/>
        <v>Leading</v>
      </c>
    </row>
    <row r="151" spans="1:7" x14ac:dyDescent="0.35">
      <c r="A151" s="4" t="s">
        <v>115</v>
      </c>
      <c r="B151" s="4" t="s">
        <v>127</v>
      </c>
      <c r="C151" s="4" t="s">
        <v>108</v>
      </c>
      <c r="D151" s="4">
        <v>6</v>
      </c>
      <c r="E151" s="4">
        <f>'Raw Data'!K15</f>
        <v>0</v>
      </c>
      <c r="F151" s="4">
        <f>N('Raw Data'!$E15)</f>
        <v>4</v>
      </c>
      <c r="G151" s="4" t="str">
        <f t="shared" si="2"/>
        <v>Leading</v>
      </c>
    </row>
    <row r="152" spans="1:7" x14ac:dyDescent="0.35">
      <c r="A152" s="4" t="s">
        <v>115</v>
      </c>
      <c r="B152" s="4" t="s">
        <v>127</v>
      </c>
      <c r="C152" s="4" t="s">
        <v>109</v>
      </c>
      <c r="D152" s="4">
        <v>7</v>
      </c>
      <c r="E152" s="4">
        <f>'Raw Data'!L15</f>
        <v>0</v>
      </c>
      <c r="F152" s="4">
        <f>N('Raw Data'!$E15)</f>
        <v>4</v>
      </c>
      <c r="G152" s="4" t="str">
        <f t="shared" si="2"/>
        <v>Leading</v>
      </c>
    </row>
    <row r="153" spans="1:7" x14ac:dyDescent="0.35">
      <c r="A153" s="4" t="s">
        <v>115</v>
      </c>
      <c r="B153" s="4" t="s">
        <v>127</v>
      </c>
      <c r="C153" s="4" t="s">
        <v>110</v>
      </c>
      <c r="D153" s="4">
        <v>8</v>
      </c>
      <c r="E153" s="4">
        <f>'Raw Data'!M15</f>
        <v>0</v>
      </c>
      <c r="F153" s="4">
        <f>N('Raw Data'!$E15)</f>
        <v>4</v>
      </c>
      <c r="G153" s="4" t="str">
        <f t="shared" si="2"/>
        <v>Leading</v>
      </c>
    </row>
    <row r="154" spans="1:7" x14ac:dyDescent="0.35">
      <c r="A154" s="4" t="s">
        <v>115</v>
      </c>
      <c r="B154" s="4" t="s">
        <v>127</v>
      </c>
      <c r="C154" s="4" t="s">
        <v>111</v>
      </c>
      <c r="D154" s="4">
        <v>9</v>
      </c>
      <c r="E154" s="4">
        <f>'Raw Data'!N15</f>
        <v>0</v>
      </c>
      <c r="F154" s="4">
        <f>N('Raw Data'!$E15)</f>
        <v>4</v>
      </c>
      <c r="G154" s="4" t="str">
        <f t="shared" si="2"/>
        <v>Leading</v>
      </c>
    </row>
    <row r="155" spans="1:7" x14ac:dyDescent="0.35">
      <c r="A155" s="4" t="s">
        <v>115</v>
      </c>
      <c r="B155" s="4" t="s">
        <v>127</v>
      </c>
      <c r="C155" s="4" t="s">
        <v>112</v>
      </c>
      <c r="D155" s="4">
        <v>10</v>
      </c>
      <c r="E155" s="4">
        <f>'Raw Data'!O15</f>
        <v>0</v>
      </c>
      <c r="F155" s="4">
        <f>N('Raw Data'!$E15)</f>
        <v>4</v>
      </c>
      <c r="G155" s="4" t="str">
        <f t="shared" si="2"/>
        <v>Leading</v>
      </c>
    </row>
    <row r="156" spans="1:7" x14ac:dyDescent="0.35">
      <c r="A156" s="4" t="s">
        <v>115</v>
      </c>
      <c r="B156" s="4" t="s">
        <v>127</v>
      </c>
      <c r="C156" s="4" t="s">
        <v>113</v>
      </c>
      <c r="D156" s="4">
        <v>11</v>
      </c>
      <c r="E156" s="4">
        <f>'Raw Data'!P15</f>
        <v>0</v>
      </c>
      <c r="F156" s="4">
        <f>N('Raw Data'!$E15)</f>
        <v>4</v>
      </c>
      <c r="G156" s="4" t="str">
        <f t="shared" si="2"/>
        <v>Leading</v>
      </c>
    </row>
    <row r="157" spans="1:7" x14ac:dyDescent="0.35">
      <c r="A157" s="4" t="s">
        <v>115</v>
      </c>
      <c r="B157" s="4" t="s">
        <v>127</v>
      </c>
      <c r="C157" s="4" t="s">
        <v>114</v>
      </c>
      <c r="D157" s="4">
        <v>12</v>
      </c>
      <c r="E157" s="4">
        <f>'Raw Data'!Q15</f>
        <v>0</v>
      </c>
      <c r="F157" s="4">
        <f>N('Raw Data'!$E15)</f>
        <v>4</v>
      </c>
      <c r="G157" s="4" t="str">
        <f t="shared" si="2"/>
        <v>Leading</v>
      </c>
    </row>
    <row r="158" spans="1:7" x14ac:dyDescent="0.35">
      <c r="A158" s="4" t="s">
        <v>115</v>
      </c>
      <c r="B158" s="4" t="s">
        <v>128</v>
      </c>
      <c r="C158" s="4" t="s">
        <v>103</v>
      </c>
      <c r="D158" s="4">
        <v>1</v>
      </c>
      <c r="E158" s="4">
        <f>'Raw Data'!F16</f>
        <v>0</v>
      </c>
      <c r="F158" s="4">
        <f>N('Raw Data'!$E16)</f>
        <v>1</v>
      </c>
      <c r="G158" s="4" t="str">
        <f t="shared" si="2"/>
        <v>Leading</v>
      </c>
    </row>
    <row r="159" spans="1:7" x14ac:dyDescent="0.35">
      <c r="A159" s="4" t="s">
        <v>115</v>
      </c>
      <c r="B159" s="4" t="s">
        <v>128</v>
      </c>
      <c r="C159" s="4" t="s">
        <v>104</v>
      </c>
      <c r="D159" s="4">
        <v>2</v>
      </c>
      <c r="E159" s="4">
        <f>'Raw Data'!G16</f>
        <v>1</v>
      </c>
      <c r="F159" s="4">
        <f>N('Raw Data'!$E16)</f>
        <v>1</v>
      </c>
      <c r="G159" s="4" t="str">
        <f t="shared" si="2"/>
        <v>Leading</v>
      </c>
    </row>
    <row r="160" spans="1:7" x14ac:dyDescent="0.35">
      <c r="A160" s="4" t="s">
        <v>115</v>
      </c>
      <c r="B160" s="4" t="s">
        <v>128</v>
      </c>
      <c r="C160" s="4" t="s">
        <v>105</v>
      </c>
      <c r="D160" s="4">
        <v>3</v>
      </c>
      <c r="E160" s="4">
        <f>'Raw Data'!H16</f>
        <v>1</v>
      </c>
      <c r="F160" s="4">
        <f>N('Raw Data'!$E16)</f>
        <v>1</v>
      </c>
      <c r="G160" s="4" t="str">
        <f t="shared" si="2"/>
        <v>Leading</v>
      </c>
    </row>
    <row r="161" spans="1:7" x14ac:dyDescent="0.35">
      <c r="A161" s="4" t="s">
        <v>115</v>
      </c>
      <c r="B161" s="4" t="s">
        <v>128</v>
      </c>
      <c r="C161" s="4" t="s">
        <v>106</v>
      </c>
      <c r="D161" s="4">
        <v>4</v>
      </c>
      <c r="E161" s="4">
        <f>'Raw Data'!I16</f>
        <v>1</v>
      </c>
      <c r="F161" s="4">
        <f>N('Raw Data'!$E16)</f>
        <v>1</v>
      </c>
      <c r="G161" s="4" t="str">
        <f t="shared" si="2"/>
        <v>Leading</v>
      </c>
    </row>
    <row r="162" spans="1:7" x14ac:dyDescent="0.35">
      <c r="A162" s="4" t="s">
        <v>115</v>
      </c>
      <c r="B162" s="4" t="s">
        <v>128</v>
      </c>
      <c r="C162" s="4" t="s">
        <v>107</v>
      </c>
      <c r="D162" s="4">
        <v>5</v>
      </c>
      <c r="E162" s="4">
        <f>'Raw Data'!J16</f>
        <v>1</v>
      </c>
      <c r="F162" s="4">
        <f>N('Raw Data'!$E16)</f>
        <v>1</v>
      </c>
      <c r="G162" s="4" t="str">
        <f t="shared" si="2"/>
        <v>Leading</v>
      </c>
    </row>
    <row r="163" spans="1:7" x14ac:dyDescent="0.35">
      <c r="A163" s="4" t="s">
        <v>115</v>
      </c>
      <c r="B163" s="4" t="s">
        <v>128</v>
      </c>
      <c r="C163" s="4" t="s">
        <v>108</v>
      </c>
      <c r="D163" s="4">
        <v>6</v>
      </c>
      <c r="E163" s="4">
        <f>'Raw Data'!K16</f>
        <v>0</v>
      </c>
      <c r="F163" s="4">
        <f>N('Raw Data'!$E16)</f>
        <v>1</v>
      </c>
      <c r="G163" s="4" t="str">
        <f t="shared" si="2"/>
        <v>Leading</v>
      </c>
    </row>
    <row r="164" spans="1:7" x14ac:dyDescent="0.35">
      <c r="A164" s="4" t="s">
        <v>115</v>
      </c>
      <c r="B164" s="4" t="s">
        <v>128</v>
      </c>
      <c r="C164" s="4" t="s">
        <v>109</v>
      </c>
      <c r="D164" s="4">
        <v>7</v>
      </c>
      <c r="E164" s="4">
        <f>'Raw Data'!L16</f>
        <v>0</v>
      </c>
      <c r="F164" s="4">
        <f>N('Raw Data'!$E16)</f>
        <v>1</v>
      </c>
      <c r="G164" s="4" t="str">
        <f t="shared" si="2"/>
        <v>Leading</v>
      </c>
    </row>
    <row r="165" spans="1:7" x14ac:dyDescent="0.35">
      <c r="A165" s="4" t="s">
        <v>115</v>
      </c>
      <c r="B165" s="4" t="s">
        <v>128</v>
      </c>
      <c r="C165" s="4" t="s">
        <v>110</v>
      </c>
      <c r="D165" s="4">
        <v>8</v>
      </c>
      <c r="E165" s="4">
        <f>'Raw Data'!M16</f>
        <v>0</v>
      </c>
      <c r="F165" s="4">
        <f>N('Raw Data'!$E16)</f>
        <v>1</v>
      </c>
      <c r="G165" s="4" t="str">
        <f t="shared" si="2"/>
        <v>Leading</v>
      </c>
    </row>
    <row r="166" spans="1:7" x14ac:dyDescent="0.35">
      <c r="A166" s="4" t="s">
        <v>115</v>
      </c>
      <c r="B166" s="4" t="s">
        <v>128</v>
      </c>
      <c r="C166" s="4" t="s">
        <v>111</v>
      </c>
      <c r="D166" s="4">
        <v>9</v>
      </c>
      <c r="E166" s="4">
        <f>'Raw Data'!N16</f>
        <v>0</v>
      </c>
      <c r="F166" s="4">
        <f>N('Raw Data'!$E16)</f>
        <v>1</v>
      </c>
      <c r="G166" s="4" t="str">
        <f t="shared" si="2"/>
        <v>Leading</v>
      </c>
    </row>
    <row r="167" spans="1:7" x14ac:dyDescent="0.35">
      <c r="A167" s="4" t="s">
        <v>115</v>
      </c>
      <c r="B167" s="4" t="s">
        <v>128</v>
      </c>
      <c r="C167" s="4" t="s">
        <v>112</v>
      </c>
      <c r="D167" s="4">
        <v>10</v>
      </c>
      <c r="E167" s="4">
        <f>'Raw Data'!O16</f>
        <v>0</v>
      </c>
      <c r="F167" s="4">
        <f>N('Raw Data'!$E16)</f>
        <v>1</v>
      </c>
      <c r="G167" s="4" t="str">
        <f t="shared" si="2"/>
        <v>Leading</v>
      </c>
    </row>
    <row r="168" spans="1:7" x14ac:dyDescent="0.35">
      <c r="A168" s="4" t="s">
        <v>115</v>
      </c>
      <c r="B168" s="4" t="s">
        <v>128</v>
      </c>
      <c r="C168" s="4" t="s">
        <v>113</v>
      </c>
      <c r="D168" s="4">
        <v>11</v>
      </c>
      <c r="E168" s="4">
        <f>'Raw Data'!P16</f>
        <v>0</v>
      </c>
      <c r="F168" s="4">
        <f>N('Raw Data'!$E16)</f>
        <v>1</v>
      </c>
      <c r="G168" s="4" t="str">
        <f t="shared" si="2"/>
        <v>Leading</v>
      </c>
    </row>
    <row r="169" spans="1:7" x14ac:dyDescent="0.35">
      <c r="A169" s="4" t="s">
        <v>115</v>
      </c>
      <c r="B169" s="4" t="s">
        <v>128</v>
      </c>
      <c r="C169" s="4" t="s">
        <v>114</v>
      </c>
      <c r="D169" s="4">
        <v>12</v>
      </c>
      <c r="E169" s="4">
        <f>'Raw Data'!Q16</f>
        <v>0</v>
      </c>
      <c r="F169" s="4">
        <f>N('Raw Data'!$E16)</f>
        <v>1</v>
      </c>
      <c r="G169" s="4" t="str">
        <f t="shared" si="2"/>
        <v>Leading</v>
      </c>
    </row>
    <row r="170" spans="1:7" x14ac:dyDescent="0.35">
      <c r="A170" s="4" t="s">
        <v>129</v>
      </c>
      <c r="B170" s="4" t="s">
        <v>117</v>
      </c>
      <c r="C170" s="4" t="s">
        <v>103</v>
      </c>
      <c r="D170" s="4">
        <v>1</v>
      </c>
      <c r="E170" s="4">
        <f>'Raw Data'!F17</f>
        <v>1</v>
      </c>
      <c r="F170" s="4">
        <f>N('Raw Data'!$E17)</f>
        <v>2</v>
      </c>
      <c r="G170" s="4" t="str">
        <f t="shared" si="2"/>
        <v>Leading</v>
      </c>
    </row>
    <row r="171" spans="1:7" x14ac:dyDescent="0.35">
      <c r="A171" s="4" t="s">
        <v>129</v>
      </c>
      <c r="B171" s="4" t="s">
        <v>117</v>
      </c>
      <c r="C171" s="4" t="s">
        <v>104</v>
      </c>
      <c r="D171" s="4">
        <v>2</v>
      </c>
      <c r="E171" s="4">
        <f>'Raw Data'!G17</f>
        <v>3</v>
      </c>
      <c r="F171" s="4">
        <f>N('Raw Data'!$E17)</f>
        <v>2</v>
      </c>
      <c r="G171" s="4" t="str">
        <f t="shared" si="2"/>
        <v>Leading</v>
      </c>
    </row>
    <row r="172" spans="1:7" x14ac:dyDescent="0.35">
      <c r="A172" s="4" t="s">
        <v>129</v>
      </c>
      <c r="B172" s="4" t="s">
        <v>117</v>
      </c>
      <c r="C172" s="4" t="s">
        <v>105</v>
      </c>
      <c r="D172" s="4">
        <v>3</v>
      </c>
      <c r="E172" s="4">
        <f>'Raw Data'!H17</f>
        <v>3</v>
      </c>
      <c r="F172" s="4">
        <f>N('Raw Data'!$E17)</f>
        <v>2</v>
      </c>
      <c r="G172" s="4" t="str">
        <f t="shared" si="2"/>
        <v>Leading</v>
      </c>
    </row>
    <row r="173" spans="1:7" x14ac:dyDescent="0.35">
      <c r="A173" s="4" t="s">
        <v>129</v>
      </c>
      <c r="B173" s="4" t="s">
        <v>117</v>
      </c>
      <c r="C173" s="4" t="s">
        <v>106</v>
      </c>
      <c r="D173" s="4">
        <v>4</v>
      </c>
      <c r="E173" s="4">
        <f>'Raw Data'!I17</f>
        <v>4</v>
      </c>
      <c r="F173" s="4">
        <f>N('Raw Data'!$E17)</f>
        <v>2</v>
      </c>
      <c r="G173" s="4" t="str">
        <f t="shared" si="2"/>
        <v>Leading</v>
      </c>
    </row>
    <row r="174" spans="1:7" x14ac:dyDescent="0.35">
      <c r="A174" s="4" t="s">
        <v>129</v>
      </c>
      <c r="B174" s="4" t="s">
        <v>117</v>
      </c>
      <c r="C174" s="4" t="s">
        <v>107</v>
      </c>
      <c r="D174" s="4">
        <v>5</v>
      </c>
      <c r="E174" s="4">
        <f>'Raw Data'!J17</f>
        <v>2</v>
      </c>
      <c r="F174" s="4">
        <f>N('Raw Data'!$E17)</f>
        <v>2</v>
      </c>
      <c r="G174" s="4" t="str">
        <f t="shared" si="2"/>
        <v>Leading</v>
      </c>
    </row>
    <row r="175" spans="1:7" x14ac:dyDescent="0.35">
      <c r="A175" s="4" t="s">
        <v>129</v>
      </c>
      <c r="B175" s="4" t="s">
        <v>117</v>
      </c>
      <c r="C175" s="4" t="s">
        <v>108</v>
      </c>
      <c r="D175" s="4">
        <v>6</v>
      </c>
      <c r="E175" s="4">
        <f>'Raw Data'!K17</f>
        <v>0</v>
      </c>
      <c r="F175" s="4">
        <f>N('Raw Data'!$E17)</f>
        <v>2</v>
      </c>
      <c r="G175" s="4" t="str">
        <f t="shared" si="2"/>
        <v>Leading</v>
      </c>
    </row>
    <row r="176" spans="1:7" x14ac:dyDescent="0.35">
      <c r="A176" s="4" t="s">
        <v>129</v>
      </c>
      <c r="B176" s="4" t="s">
        <v>117</v>
      </c>
      <c r="C176" s="4" t="s">
        <v>109</v>
      </c>
      <c r="D176" s="4">
        <v>7</v>
      </c>
      <c r="E176" s="4">
        <f>'Raw Data'!L17</f>
        <v>0</v>
      </c>
      <c r="F176" s="4">
        <f>N('Raw Data'!$E17)</f>
        <v>2</v>
      </c>
      <c r="G176" s="4" t="str">
        <f t="shared" si="2"/>
        <v>Leading</v>
      </c>
    </row>
    <row r="177" spans="1:7" x14ac:dyDescent="0.35">
      <c r="A177" s="4" t="s">
        <v>129</v>
      </c>
      <c r="B177" s="4" t="s">
        <v>117</v>
      </c>
      <c r="C177" s="4" t="s">
        <v>110</v>
      </c>
      <c r="D177" s="4">
        <v>8</v>
      </c>
      <c r="E177" s="4">
        <f>'Raw Data'!M17</f>
        <v>0</v>
      </c>
      <c r="F177" s="4">
        <f>N('Raw Data'!$E17)</f>
        <v>2</v>
      </c>
      <c r="G177" s="4" t="str">
        <f t="shared" si="2"/>
        <v>Leading</v>
      </c>
    </row>
    <row r="178" spans="1:7" x14ac:dyDescent="0.35">
      <c r="A178" s="4" t="s">
        <v>129</v>
      </c>
      <c r="B178" s="4" t="s">
        <v>117</v>
      </c>
      <c r="C178" s="4" t="s">
        <v>111</v>
      </c>
      <c r="D178" s="4">
        <v>9</v>
      </c>
      <c r="E178" s="4">
        <f>'Raw Data'!N17</f>
        <v>0</v>
      </c>
      <c r="F178" s="4">
        <f>N('Raw Data'!$E17)</f>
        <v>2</v>
      </c>
      <c r="G178" s="4" t="str">
        <f t="shared" si="2"/>
        <v>Leading</v>
      </c>
    </row>
    <row r="179" spans="1:7" x14ac:dyDescent="0.35">
      <c r="A179" s="4" t="s">
        <v>129</v>
      </c>
      <c r="B179" s="4" t="s">
        <v>117</v>
      </c>
      <c r="C179" s="4" t="s">
        <v>112</v>
      </c>
      <c r="D179" s="4">
        <v>10</v>
      </c>
      <c r="E179" s="4">
        <f>'Raw Data'!O17</f>
        <v>0</v>
      </c>
      <c r="F179" s="4">
        <f>N('Raw Data'!$E17)</f>
        <v>2</v>
      </c>
      <c r="G179" s="4" t="str">
        <f t="shared" si="2"/>
        <v>Leading</v>
      </c>
    </row>
    <row r="180" spans="1:7" x14ac:dyDescent="0.35">
      <c r="A180" s="4" t="s">
        <v>129</v>
      </c>
      <c r="B180" s="4" t="s">
        <v>117</v>
      </c>
      <c r="C180" s="4" t="s">
        <v>113</v>
      </c>
      <c r="D180" s="4">
        <v>11</v>
      </c>
      <c r="E180" s="4">
        <f>'Raw Data'!P17</f>
        <v>0</v>
      </c>
      <c r="F180" s="4">
        <f>N('Raw Data'!$E17)</f>
        <v>2</v>
      </c>
      <c r="G180" s="4" t="str">
        <f t="shared" si="2"/>
        <v>Leading</v>
      </c>
    </row>
    <row r="181" spans="1:7" x14ac:dyDescent="0.35">
      <c r="A181" s="4" t="s">
        <v>129</v>
      </c>
      <c r="B181" s="4" t="s">
        <v>117</v>
      </c>
      <c r="C181" s="4" t="s">
        <v>114</v>
      </c>
      <c r="D181" s="4">
        <v>12</v>
      </c>
      <c r="E181" s="4">
        <f>'Raw Data'!Q17</f>
        <v>0</v>
      </c>
      <c r="F181" s="4">
        <f>N('Raw Data'!$E17)</f>
        <v>2</v>
      </c>
      <c r="G181" s="4" t="str">
        <f t="shared" si="2"/>
        <v>Leading</v>
      </c>
    </row>
    <row r="182" spans="1:7" x14ac:dyDescent="0.35">
      <c r="A182" s="4" t="s">
        <v>129</v>
      </c>
      <c r="B182" s="4" t="s">
        <v>118</v>
      </c>
      <c r="C182" s="4" t="s">
        <v>103</v>
      </c>
      <c r="D182" s="4">
        <v>1</v>
      </c>
      <c r="E182" s="4">
        <f>'Raw Data'!F18</f>
        <v>0</v>
      </c>
      <c r="F182" s="4">
        <f>N('Raw Data'!$E18)</f>
        <v>0</v>
      </c>
      <c r="G182" s="4" t="str">
        <f t="shared" si="2"/>
        <v>Leading</v>
      </c>
    </row>
    <row r="183" spans="1:7" x14ac:dyDescent="0.35">
      <c r="A183" s="4" t="s">
        <v>129</v>
      </c>
      <c r="B183" s="4" t="s">
        <v>118</v>
      </c>
      <c r="C183" s="4" t="s">
        <v>104</v>
      </c>
      <c r="D183" s="4">
        <v>2</v>
      </c>
      <c r="E183" s="4">
        <f>'Raw Data'!G18</f>
        <v>5</v>
      </c>
      <c r="F183" s="4">
        <f>N('Raw Data'!$E18)</f>
        <v>0</v>
      </c>
      <c r="G183" s="4" t="str">
        <f t="shared" si="2"/>
        <v>Leading</v>
      </c>
    </row>
    <row r="184" spans="1:7" x14ac:dyDescent="0.35">
      <c r="A184" s="4" t="s">
        <v>129</v>
      </c>
      <c r="B184" s="4" t="s">
        <v>118</v>
      </c>
      <c r="C184" s="4" t="s">
        <v>105</v>
      </c>
      <c r="D184" s="4">
        <v>3</v>
      </c>
      <c r="E184" s="4">
        <f>'Raw Data'!H18</f>
        <v>1</v>
      </c>
      <c r="F184" s="4">
        <f>N('Raw Data'!$E18)</f>
        <v>0</v>
      </c>
      <c r="G184" s="4" t="str">
        <f t="shared" si="2"/>
        <v>Leading</v>
      </c>
    </row>
    <row r="185" spans="1:7" x14ac:dyDescent="0.35">
      <c r="A185" s="4" t="s">
        <v>129</v>
      </c>
      <c r="B185" s="4" t="s">
        <v>118</v>
      </c>
      <c r="C185" s="4" t="s">
        <v>106</v>
      </c>
      <c r="D185" s="4">
        <v>4</v>
      </c>
      <c r="E185" s="4">
        <f>'Raw Data'!I18</f>
        <v>2</v>
      </c>
      <c r="F185" s="4">
        <f>N('Raw Data'!$E18)</f>
        <v>0</v>
      </c>
      <c r="G185" s="4" t="str">
        <f t="shared" si="2"/>
        <v>Leading</v>
      </c>
    </row>
    <row r="186" spans="1:7" x14ac:dyDescent="0.35">
      <c r="A186" s="4" t="s">
        <v>129</v>
      </c>
      <c r="B186" s="4" t="s">
        <v>118</v>
      </c>
      <c r="C186" s="4" t="s">
        <v>107</v>
      </c>
      <c r="D186" s="4">
        <v>5</v>
      </c>
      <c r="E186" s="4">
        <f>'Raw Data'!J18</f>
        <v>3</v>
      </c>
      <c r="F186" s="4">
        <f>N('Raw Data'!$E18)</f>
        <v>0</v>
      </c>
      <c r="G186" s="4" t="str">
        <f t="shared" si="2"/>
        <v>Leading</v>
      </c>
    </row>
    <row r="187" spans="1:7" x14ac:dyDescent="0.35">
      <c r="A187" s="4" t="s">
        <v>129</v>
      </c>
      <c r="B187" s="4" t="s">
        <v>118</v>
      </c>
      <c r="C187" s="4" t="s">
        <v>108</v>
      </c>
      <c r="D187" s="4">
        <v>6</v>
      </c>
      <c r="E187" s="4">
        <f>'Raw Data'!K18</f>
        <v>0</v>
      </c>
      <c r="F187" s="4">
        <f>N('Raw Data'!$E18)</f>
        <v>0</v>
      </c>
      <c r="G187" s="4" t="str">
        <f t="shared" si="2"/>
        <v>Leading</v>
      </c>
    </row>
    <row r="188" spans="1:7" x14ac:dyDescent="0.35">
      <c r="A188" s="4" t="s">
        <v>129</v>
      </c>
      <c r="B188" s="4" t="s">
        <v>118</v>
      </c>
      <c r="C188" s="4" t="s">
        <v>109</v>
      </c>
      <c r="D188" s="4">
        <v>7</v>
      </c>
      <c r="E188" s="4">
        <f>'Raw Data'!L18</f>
        <v>0</v>
      </c>
      <c r="F188" s="4">
        <f>N('Raw Data'!$E18)</f>
        <v>0</v>
      </c>
      <c r="G188" s="4" t="str">
        <f t="shared" si="2"/>
        <v>Leading</v>
      </c>
    </row>
    <row r="189" spans="1:7" x14ac:dyDescent="0.35">
      <c r="A189" s="4" t="s">
        <v>129</v>
      </c>
      <c r="B189" s="4" t="s">
        <v>118</v>
      </c>
      <c r="C189" s="4" t="s">
        <v>110</v>
      </c>
      <c r="D189" s="4">
        <v>8</v>
      </c>
      <c r="E189" s="4">
        <f>'Raw Data'!M18</f>
        <v>0</v>
      </c>
      <c r="F189" s="4">
        <f>N('Raw Data'!$E18)</f>
        <v>0</v>
      </c>
      <c r="G189" s="4" t="str">
        <f t="shared" si="2"/>
        <v>Leading</v>
      </c>
    </row>
    <row r="190" spans="1:7" x14ac:dyDescent="0.35">
      <c r="A190" s="4" t="s">
        <v>129</v>
      </c>
      <c r="B190" s="4" t="s">
        <v>118</v>
      </c>
      <c r="C190" s="4" t="s">
        <v>111</v>
      </c>
      <c r="D190" s="4">
        <v>9</v>
      </c>
      <c r="E190" s="4">
        <f>'Raw Data'!N18</f>
        <v>0</v>
      </c>
      <c r="F190" s="4">
        <f>N('Raw Data'!$E18)</f>
        <v>0</v>
      </c>
      <c r="G190" s="4" t="str">
        <f t="shared" si="2"/>
        <v>Leading</v>
      </c>
    </row>
    <row r="191" spans="1:7" x14ac:dyDescent="0.35">
      <c r="A191" s="4" t="s">
        <v>129</v>
      </c>
      <c r="B191" s="4" t="s">
        <v>118</v>
      </c>
      <c r="C191" s="4" t="s">
        <v>112</v>
      </c>
      <c r="D191" s="4">
        <v>10</v>
      </c>
      <c r="E191" s="4">
        <f>'Raw Data'!O18</f>
        <v>0</v>
      </c>
      <c r="F191" s="4">
        <f>N('Raw Data'!$E18)</f>
        <v>0</v>
      </c>
      <c r="G191" s="4" t="str">
        <f t="shared" si="2"/>
        <v>Leading</v>
      </c>
    </row>
    <row r="192" spans="1:7" x14ac:dyDescent="0.35">
      <c r="A192" s="4" t="s">
        <v>129</v>
      </c>
      <c r="B192" s="4" t="s">
        <v>118</v>
      </c>
      <c r="C192" s="4" t="s">
        <v>113</v>
      </c>
      <c r="D192" s="4">
        <v>11</v>
      </c>
      <c r="E192" s="4">
        <f>'Raw Data'!P18</f>
        <v>0</v>
      </c>
      <c r="F192" s="4">
        <f>N('Raw Data'!$E18)</f>
        <v>0</v>
      </c>
      <c r="G192" s="4" t="str">
        <f t="shared" si="2"/>
        <v>Leading</v>
      </c>
    </row>
    <row r="193" spans="1:7" x14ac:dyDescent="0.35">
      <c r="A193" s="4" t="s">
        <v>129</v>
      </c>
      <c r="B193" s="4" t="s">
        <v>118</v>
      </c>
      <c r="C193" s="4" t="s">
        <v>114</v>
      </c>
      <c r="D193" s="4">
        <v>12</v>
      </c>
      <c r="E193" s="4">
        <f>'Raw Data'!Q18</f>
        <v>0</v>
      </c>
      <c r="F193" s="4">
        <f>N('Raw Data'!$E18)</f>
        <v>0</v>
      </c>
      <c r="G193" s="4" t="str">
        <f t="shared" si="2"/>
        <v>Leading</v>
      </c>
    </row>
    <row r="194" spans="1:7" x14ac:dyDescent="0.35">
      <c r="A194" s="4" t="s">
        <v>129</v>
      </c>
      <c r="B194" s="4" t="s">
        <v>119</v>
      </c>
      <c r="C194" s="4" t="s">
        <v>103</v>
      </c>
      <c r="D194" s="4">
        <v>1</v>
      </c>
      <c r="E194" s="4">
        <f>'Raw Data'!F19</f>
        <v>0</v>
      </c>
      <c r="F194" s="4">
        <f>N('Raw Data'!$E19)</f>
        <v>0</v>
      </c>
      <c r="G194" s="4" t="str">
        <f t="shared" ref="G194:G257" si="3">IF(COUNTIF($I$2:$I$8,$B194),"Leading",IF(COUNTIF($K$2:$K$8,$B194),"Lagging",""))</f>
        <v>Leading</v>
      </c>
    </row>
    <row r="195" spans="1:7" x14ac:dyDescent="0.35">
      <c r="A195" s="4" t="s">
        <v>129</v>
      </c>
      <c r="B195" s="4" t="s">
        <v>119</v>
      </c>
      <c r="C195" s="4" t="s">
        <v>104</v>
      </c>
      <c r="D195" s="4">
        <v>2</v>
      </c>
      <c r="E195" s="4">
        <f>'Raw Data'!G19</f>
        <v>2</v>
      </c>
      <c r="F195" s="4">
        <f>N('Raw Data'!$E19)</f>
        <v>0</v>
      </c>
      <c r="G195" s="4" t="str">
        <f t="shared" si="3"/>
        <v>Leading</v>
      </c>
    </row>
    <row r="196" spans="1:7" x14ac:dyDescent="0.35">
      <c r="A196" s="4" t="s">
        <v>129</v>
      </c>
      <c r="B196" s="4" t="s">
        <v>119</v>
      </c>
      <c r="C196" s="4" t="s">
        <v>105</v>
      </c>
      <c r="D196" s="4">
        <v>3</v>
      </c>
      <c r="E196" s="4">
        <f>'Raw Data'!H19</f>
        <v>2</v>
      </c>
      <c r="F196" s="4">
        <f>N('Raw Data'!$E19)</f>
        <v>0</v>
      </c>
      <c r="G196" s="4" t="str">
        <f t="shared" si="3"/>
        <v>Leading</v>
      </c>
    </row>
    <row r="197" spans="1:7" x14ac:dyDescent="0.35">
      <c r="A197" s="4" t="s">
        <v>129</v>
      </c>
      <c r="B197" s="4" t="s">
        <v>119</v>
      </c>
      <c r="C197" s="4" t="s">
        <v>106</v>
      </c>
      <c r="D197" s="4">
        <v>4</v>
      </c>
      <c r="E197" s="4">
        <f>'Raw Data'!I19</f>
        <v>12</v>
      </c>
      <c r="F197" s="4">
        <f>N('Raw Data'!$E19)</f>
        <v>0</v>
      </c>
      <c r="G197" s="4" t="str">
        <f t="shared" si="3"/>
        <v>Leading</v>
      </c>
    </row>
    <row r="198" spans="1:7" x14ac:dyDescent="0.35">
      <c r="A198" s="4" t="s">
        <v>129</v>
      </c>
      <c r="B198" s="4" t="s">
        <v>119</v>
      </c>
      <c r="C198" s="4" t="s">
        <v>107</v>
      </c>
      <c r="D198" s="4">
        <v>5</v>
      </c>
      <c r="E198" s="4">
        <f>'Raw Data'!J19</f>
        <v>8</v>
      </c>
      <c r="F198" s="4">
        <f>N('Raw Data'!$E19)</f>
        <v>0</v>
      </c>
      <c r="G198" s="4" t="str">
        <f t="shared" si="3"/>
        <v>Leading</v>
      </c>
    </row>
    <row r="199" spans="1:7" x14ac:dyDescent="0.35">
      <c r="A199" s="4" t="s">
        <v>129</v>
      </c>
      <c r="B199" s="4" t="s">
        <v>119</v>
      </c>
      <c r="C199" s="4" t="s">
        <v>108</v>
      </c>
      <c r="D199" s="4">
        <v>6</v>
      </c>
      <c r="E199" s="4">
        <f>'Raw Data'!K19</f>
        <v>3</v>
      </c>
      <c r="F199" s="4">
        <f>N('Raw Data'!$E19)</f>
        <v>0</v>
      </c>
      <c r="G199" s="4" t="str">
        <f t="shared" si="3"/>
        <v>Leading</v>
      </c>
    </row>
    <row r="200" spans="1:7" x14ac:dyDescent="0.35">
      <c r="A200" s="4" t="s">
        <v>129</v>
      </c>
      <c r="B200" s="4" t="s">
        <v>119</v>
      </c>
      <c r="C200" s="4" t="s">
        <v>109</v>
      </c>
      <c r="D200" s="4">
        <v>7</v>
      </c>
      <c r="E200" s="4">
        <f>'Raw Data'!L19</f>
        <v>0</v>
      </c>
      <c r="F200" s="4">
        <f>N('Raw Data'!$E19)</f>
        <v>0</v>
      </c>
      <c r="G200" s="4" t="str">
        <f t="shared" si="3"/>
        <v>Leading</v>
      </c>
    </row>
    <row r="201" spans="1:7" x14ac:dyDescent="0.35">
      <c r="A201" s="4" t="s">
        <v>129</v>
      </c>
      <c r="B201" s="4" t="s">
        <v>119</v>
      </c>
      <c r="C201" s="4" t="s">
        <v>110</v>
      </c>
      <c r="D201" s="4">
        <v>8</v>
      </c>
      <c r="E201" s="4">
        <f>'Raw Data'!M19</f>
        <v>0</v>
      </c>
      <c r="F201" s="4">
        <f>N('Raw Data'!$E19)</f>
        <v>0</v>
      </c>
      <c r="G201" s="4" t="str">
        <f t="shared" si="3"/>
        <v>Leading</v>
      </c>
    </row>
    <row r="202" spans="1:7" x14ac:dyDescent="0.35">
      <c r="A202" s="4" t="s">
        <v>129</v>
      </c>
      <c r="B202" s="4" t="s">
        <v>119</v>
      </c>
      <c r="C202" s="4" t="s">
        <v>111</v>
      </c>
      <c r="D202" s="4">
        <v>9</v>
      </c>
      <c r="E202" s="4">
        <f>'Raw Data'!N19</f>
        <v>0</v>
      </c>
      <c r="F202" s="4">
        <f>N('Raw Data'!$E19)</f>
        <v>0</v>
      </c>
      <c r="G202" s="4" t="str">
        <f t="shared" si="3"/>
        <v>Leading</v>
      </c>
    </row>
    <row r="203" spans="1:7" x14ac:dyDescent="0.35">
      <c r="A203" s="4" t="s">
        <v>129</v>
      </c>
      <c r="B203" s="4" t="s">
        <v>119</v>
      </c>
      <c r="C203" s="4" t="s">
        <v>112</v>
      </c>
      <c r="D203" s="4">
        <v>10</v>
      </c>
      <c r="E203" s="4">
        <f>'Raw Data'!O19</f>
        <v>0</v>
      </c>
      <c r="F203" s="4">
        <f>N('Raw Data'!$E19)</f>
        <v>0</v>
      </c>
      <c r="G203" s="4" t="str">
        <f t="shared" si="3"/>
        <v>Leading</v>
      </c>
    </row>
    <row r="204" spans="1:7" x14ac:dyDescent="0.35">
      <c r="A204" s="4" t="s">
        <v>129</v>
      </c>
      <c r="B204" s="4" t="s">
        <v>119</v>
      </c>
      <c r="C204" s="4" t="s">
        <v>113</v>
      </c>
      <c r="D204" s="4">
        <v>11</v>
      </c>
      <c r="E204" s="4">
        <f>'Raw Data'!P19</f>
        <v>0</v>
      </c>
      <c r="F204" s="4">
        <f>N('Raw Data'!$E19)</f>
        <v>0</v>
      </c>
      <c r="G204" s="4" t="str">
        <f t="shared" si="3"/>
        <v>Leading</v>
      </c>
    </row>
    <row r="205" spans="1:7" x14ac:dyDescent="0.35">
      <c r="A205" s="4" t="s">
        <v>129</v>
      </c>
      <c r="B205" s="4" t="s">
        <v>119</v>
      </c>
      <c r="C205" s="4" t="s">
        <v>114</v>
      </c>
      <c r="D205" s="4">
        <v>12</v>
      </c>
      <c r="E205" s="4">
        <f>'Raw Data'!Q19</f>
        <v>0</v>
      </c>
      <c r="F205" s="4">
        <f>N('Raw Data'!$E19)</f>
        <v>0</v>
      </c>
      <c r="G205" s="4" t="str">
        <f t="shared" si="3"/>
        <v>Leading</v>
      </c>
    </row>
    <row r="206" spans="1:7" x14ac:dyDescent="0.35">
      <c r="A206" s="4" t="s">
        <v>129</v>
      </c>
      <c r="B206" s="4" t="s">
        <v>120</v>
      </c>
      <c r="C206" s="4" t="s">
        <v>103</v>
      </c>
      <c r="D206" s="4">
        <v>1</v>
      </c>
      <c r="E206" s="4">
        <f>'Raw Data'!F20</f>
        <v>0</v>
      </c>
      <c r="F206" s="4">
        <f>N('Raw Data'!$E20)</f>
        <v>0</v>
      </c>
      <c r="G206" s="4" t="str">
        <f t="shared" si="3"/>
        <v>Lagging</v>
      </c>
    </row>
    <row r="207" spans="1:7" x14ac:dyDescent="0.35">
      <c r="A207" s="4" t="s">
        <v>129</v>
      </c>
      <c r="B207" s="4" t="s">
        <v>120</v>
      </c>
      <c r="C207" s="4" t="s">
        <v>104</v>
      </c>
      <c r="D207" s="4">
        <v>2</v>
      </c>
      <c r="E207" s="4">
        <f>'Raw Data'!G20</f>
        <v>1</v>
      </c>
      <c r="F207" s="4">
        <f>N('Raw Data'!$E20)</f>
        <v>0</v>
      </c>
      <c r="G207" s="4" t="str">
        <f t="shared" si="3"/>
        <v>Lagging</v>
      </c>
    </row>
    <row r="208" spans="1:7" x14ac:dyDescent="0.35">
      <c r="A208" s="4" t="s">
        <v>129</v>
      </c>
      <c r="B208" s="4" t="s">
        <v>120</v>
      </c>
      <c r="C208" s="4" t="s">
        <v>105</v>
      </c>
      <c r="D208" s="4">
        <v>3</v>
      </c>
      <c r="E208" s="4">
        <f>'Raw Data'!H20</f>
        <v>0</v>
      </c>
      <c r="F208" s="4">
        <f>N('Raw Data'!$E20)</f>
        <v>0</v>
      </c>
      <c r="G208" s="4" t="str">
        <f t="shared" si="3"/>
        <v>Lagging</v>
      </c>
    </row>
    <row r="209" spans="1:7" x14ac:dyDescent="0.35">
      <c r="A209" s="4" t="s">
        <v>129</v>
      </c>
      <c r="B209" s="4" t="s">
        <v>120</v>
      </c>
      <c r="C209" s="4" t="s">
        <v>106</v>
      </c>
      <c r="D209" s="4">
        <v>4</v>
      </c>
      <c r="E209" s="4">
        <f>'Raw Data'!I20</f>
        <v>0</v>
      </c>
      <c r="F209" s="4">
        <f>N('Raw Data'!$E20)</f>
        <v>0</v>
      </c>
      <c r="G209" s="4" t="str">
        <f t="shared" si="3"/>
        <v>Lagging</v>
      </c>
    </row>
    <row r="210" spans="1:7" x14ac:dyDescent="0.35">
      <c r="A210" s="4" t="s">
        <v>129</v>
      </c>
      <c r="B210" s="4" t="s">
        <v>120</v>
      </c>
      <c r="C210" s="4" t="s">
        <v>107</v>
      </c>
      <c r="D210" s="4">
        <v>5</v>
      </c>
      <c r="E210" s="4">
        <f>'Raw Data'!J20</f>
        <v>0</v>
      </c>
      <c r="F210" s="4">
        <f>N('Raw Data'!$E20)</f>
        <v>0</v>
      </c>
      <c r="G210" s="4" t="str">
        <f t="shared" si="3"/>
        <v>Lagging</v>
      </c>
    </row>
    <row r="211" spans="1:7" x14ac:dyDescent="0.35">
      <c r="A211" s="4" t="s">
        <v>129</v>
      </c>
      <c r="B211" s="4" t="s">
        <v>120</v>
      </c>
      <c r="C211" s="4" t="s">
        <v>108</v>
      </c>
      <c r="D211" s="4">
        <v>6</v>
      </c>
      <c r="E211" s="4">
        <f>'Raw Data'!K20</f>
        <v>0</v>
      </c>
      <c r="F211" s="4">
        <f>N('Raw Data'!$E20)</f>
        <v>0</v>
      </c>
      <c r="G211" s="4" t="str">
        <f t="shared" si="3"/>
        <v>Lagging</v>
      </c>
    </row>
    <row r="212" spans="1:7" x14ac:dyDescent="0.35">
      <c r="A212" s="4" t="s">
        <v>129</v>
      </c>
      <c r="B212" s="4" t="s">
        <v>120</v>
      </c>
      <c r="C212" s="4" t="s">
        <v>109</v>
      </c>
      <c r="D212" s="4">
        <v>7</v>
      </c>
      <c r="E212" s="4">
        <f>'Raw Data'!L20</f>
        <v>0</v>
      </c>
      <c r="F212" s="4">
        <f>N('Raw Data'!$E20)</f>
        <v>0</v>
      </c>
      <c r="G212" s="4" t="str">
        <f t="shared" si="3"/>
        <v>Lagging</v>
      </c>
    </row>
    <row r="213" spans="1:7" x14ac:dyDescent="0.35">
      <c r="A213" s="4" t="s">
        <v>129</v>
      </c>
      <c r="B213" s="4" t="s">
        <v>120</v>
      </c>
      <c r="C213" s="4" t="s">
        <v>110</v>
      </c>
      <c r="D213" s="4">
        <v>8</v>
      </c>
      <c r="E213" s="4">
        <f>'Raw Data'!M20</f>
        <v>0</v>
      </c>
      <c r="F213" s="4">
        <f>N('Raw Data'!$E20)</f>
        <v>0</v>
      </c>
      <c r="G213" s="4" t="str">
        <f t="shared" si="3"/>
        <v>Lagging</v>
      </c>
    </row>
    <row r="214" spans="1:7" x14ac:dyDescent="0.35">
      <c r="A214" s="4" t="s">
        <v>129</v>
      </c>
      <c r="B214" s="4" t="s">
        <v>120</v>
      </c>
      <c r="C214" s="4" t="s">
        <v>111</v>
      </c>
      <c r="D214" s="4">
        <v>9</v>
      </c>
      <c r="E214" s="4">
        <f>'Raw Data'!N20</f>
        <v>0</v>
      </c>
      <c r="F214" s="4">
        <f>N('Raw Data'!$E20)</f>
        <v>0</v>
      </c>
      <c r="G214" s="4" t="str">
        <f t="shared" si="3"/>
        <v>Lagging</v>
      </c>
    </row>
    <row r="215" spans="1:7" x14ac:dyDescent="0.35">
      <c r="A215" s="4" t="s">
        <v>129</v>
      </c>
      <c r="B215" s="4" t="s">
        <v>120</v>
      </c>
      <c r="C215" s="4" t="s">
        <v>112</v>
      </c>
      <c r="D215" s="4">
        <v>10</v>
      </c>
      <c r="E215" s="4">
        <f>'Raw Data'!O20</f>
        <v>0</v>
      </c>
      <c r="F215" s="4">
        <f>N('Raw Data'!$E20)</f>
        <v>0</v>
      </c>
      <c r="G215" s="4" t="str">
        <f t="shared" si="3"/>
        <v>Lagging</v>
      </c>
    </row>
    <row r="216" spans="1:7" x14ac:dyDescent="0.35">
      <c r="A216" s="4" t="s">
        <v>129</v>
      </c>
      <c r="B216" s="4" t="s">
        <v>120</v>
      </c>
      <c r="C216" s="4" t="s">
        <v>113</v>
      </c>
      <c r="D216" s="4">
        <v>11</v>
      </c>
      <c r="E216" s="4">
        <f>'Raw Data'!P20</f>
        <v>0</v>
      </c>
      <c r="F216" s="4">
        <f>N('Raw Data'!$E20)</f>
        <v>0</v>
      </c>
      <c r="G216" s="4" t="str">
        <f t="shared" si="3"/>
        <v>Lagging</v>
      </c>
    </row>
    <row r="217" spans="1:7" x14ac:dyDescent="0.35">
      <c r="A217" s="4" t="s">
        <v>129</v>
      </c>
      <c r="B217" s="4" t="s">
        <v>120</v>
      </c>
      <c r="C217" s="4" t="s">
        <v>114</v>
      </c>
      <c r="D217" s="4">
        <v>12</v>
      </c>
      <c r="E217" s="4">
        <f>'Raw Data'!Q20</f>
        <v>0</v>
      </c>
      <c r="F217" s="4">
        <f>N('Raw Data'!$E20)</f>
        <v>0</v>
      </c>
      <c r="G217" s="4" t="str">
        <f t="shared" si="3"/>
        <v>Lagging</v>
      </c>
    </row>
    <row r="218" spans="1:7" x14ac:dyDescent="0.35">
      <c r="A218" s="4" t="s">
        <v>129</v>
      </c>
      <c r="B218" s="4" t="s">
        <v>121</v>
      </c>
      <c r="C218" s="4" t="s">
        <v>103</v>
      </c>
      <c r="D218" s="4">
        <v>1</v>
      </c>
      <c r="E218" s="4">
        <f>'Raw Data'!F21</f>
        <v>0</v>
      </c>
      <c r="F218" s="4">
        <f>N('Raw Data'!$E21)</f>
        <v>0</v>
      </c>
      <c r="G218" s="4" t="str">
        <f t="shared" si="3"/>
        <v>Lagging</v>
      </c>
    </row>
    <row r="219" spans="1:7" x14ac:dyDescent="0.35">
      <c r="A219" s="4" t="s">
        <v>129</v>
      </c>
      <c r="B219" s="4" t="s">
        <v>121</v>
      </c>
      <c r="C219" s="4" t="s">
        <v>104</v>
      </c>
      <c r="D219" s="4">
        <v>2</v>
      </c>
      <c r="E219" s="4">
        <f>'Raw Data'!G21</f>
        <v>1</v>
      </c>
      <c r="F219" s="4">
        <f>N('Raw Data'!$E21)</f>
        <v>0</v>
      </c>
      <c r="G219" s="4" t="str">
        <f t="shared" si="3"/>
        <v>Lagging</v>
      </c>
    </row>
    <row r="220" spans="1:7" x14ac:dyDescent="0.35">
      <c r="A220" s="4" t="s">
        <v>129</v>
      </c>
      <c r="B220" s="4" t="s">
        <v>121</v>
      </c>
      <c r="C220" s="4" t="s">
        <v>105</v>
      </c>
      <c r="D220" s="4">
        <v>3</v>
      </c>
      <c r="E220" s="4">
        <f>'Raw Data'!H21</f>
        <v>0</v>
      </c>
      <c r="F220" s="4">
        <f>N('Raw Data'!$E21)</f>
        <v>0</v>
      </c>
      <c r="G220" s="4" t="str">
        <f t="shared" si="3"/>
        <v>Lagging</v>
      </c>
    </row>
    <row r="221" spans="1:7" x14ac:dyDescent="0.35">
      <c r="A221" s="4" t="s">
        <v>129</v>
      </c>
      <c r="B221" s="4" t="s">
        <v>121</v>
      </c>
      <c r="C221" s="4" t="s">
        <v>106</v>
      </c>
      <c r="D221" s="4">
        <v>4</v>
      </c>
      <c r="E221" s="4">
        <f>'Raw Data'!I21</f>
        <v>0</v>
      </c>
      <c r="F221" s="4">
        <f>N('Raw Data'!$E21)</f>
        <v>0</v>
      </c>
      <c r="G221" s="4" t="str">
        <f t="shared" si="3"/>
        <v>Lagging</v>
      </c>
    </row>
    <row r="222" spans="1:7" x14ac:dyDescent="0.35">
      <c r="A222" s="4" t="s">
        <v>129</v>
      </c>
      <c r="B222" s="4" t="s">
        <v>121</v>
      </c>
      <c r="C222" s="4" t="s">
        <v>107</v>
      </c>
      <c r="D222" s="4">
        <v>5</v>
      </c>
      <c r="E222" s="4">
        <f>'Raw Data'!J21</f>
        <v>0</v>
      </c>
      <c r="F222" s="4">
        <f>N('Raw Data'!$E21)</f>
        <v>0</v>
      </c>
      <c r="G222" s="4" t="str">
        <f t="shared" si="3"/>
        <v>Lagging</v>
      </c>
    </row>
    <row r="223" spans="1:7" x14ac:dyDescent="0.35">
      <c r="A223" s="4" t="s">
        <v>129</v>
      </c>
      <c r="B223" s="4" t="s">
        <v>121</v>
      </c>
      <c r="C223" s="4" t="s">
        <v>108</v>
      </c>
      <c r="D223" s="4">
        <v>6</v>
      </c>
      <c r="E223" s="4">
        <f>'Raw Data'!K21</f>
        <v>0</v>
      </c>
      <c r="F223" s="4">
        <f>N('Raw Data'!$E21)</f>
        <v>0</v>
      </c>
      <c r="G223" s="4" t="str">
        <f t="shared" si="3"/>
        <v>Lagging</v>
      </c>
    </row>
    <row r="224" spans="1:7" x14ac:dyDescent="0.35">
      <c r="A224" s="4" t="s">
        <v>129</v>
      </c>
      <c r="B224" s="4" t="s">
        <v>121</v>
      </c>
      <c r="C224" s="4" t="s">
        <v>109</v>
      </c>
      <c r="D224" s="4">
        <v>7</v>
      </c>
      <c r="E224" s="4">
        <f>'Raw Data'!L21</f>
        <v>0</v>
      </c>
      <c r="F224" s="4">
        <f>N('Raw Data'!$E21)</f>
        <v>0</v>
      </c>
      <c r="G224" s="4" t="str">
        <f t="shared" si="3"/>
        <v>Lagging</v>
      </c>
    </row>
    <row r="225" spans="1:7" x14ac:dyDescent="0.35">
      <c r="A225" s="4" t="s">
        <v>129</v>
      </c>
      <c r="B225" s="4" t="s">
        <v>121</v>
      </c>
      <c r="C225" s="4" t="s">
        <v>110</v>
      </c>
      <c r="D225" s="4">
        <v>8</v>
      </c>
      <c r="E225" s="4">
        <f>'Raw Data'!M21</f>
        <v>0</v>
      </c>
      <c r="F225" s="4">
        <f>N('Raw Data'!$E21)</f>
        <v>0</v>
      </c>
      <c r="G225" s="4" t="str">
        <f t="shared" si="3"/>
        <v>Lagging</v>
      </c>
    </row>
    <row r="226" spans="1:7" x14ac:dyDescent="0.35">
      <c r="A226" s="4" t="s">
        <v>129</v>
      </c>
      <c r="B226" s="4" t="s">
        <v>121</v>
      </c>
      <c r="C226" s="4" t="s">
        <v>111</v>
      </c>
      <c r="D226" s="4">
        <v>9</v>
      </c>
      <c r="E226" s="4">
        <f>'Raw Data'!N21</f>
        <v>0</v>
      </c>
      <c r="F226" s="4">
        <f>N('Raw Data'!$E21)</f>
        <v>0</v>
      </c>
      <c r="G226" s="4" t="str">
        <f t="shared" si="3"/>
        <v>Lagging</v>
      </c>
    </row>
    <row r="227" spans="1:7" x14ac:dyDescent="0.35">
      <c r="A227" s="4" t="s">
        <v>129</v>
      </c>
      <c r="B227" s="4" t="s">
        <v>121</v>
      </c>
      <c r="C227" s="4" t="s">
        <v>112</v>
      </c>
      <c r="D227" s="4">
        <v>10</v>
      </c>
      <c r="E227" s="4">
        <f>'Raw Data'!O21</f>
        <v>0</v>
      </c>
      <c r="F227" s="4">
        <f>N('Raw Data'!$E21)</f>
        <v>0</v>
      </c>
      <c r="G227" s="4" t="str">
        <f t="shared" si="3"/>
        <v>Lagging</v>
      </c>
    </row>
    <row r="228" spans="1:7" x14ac:dyDescent="0.35">
      <c r="A228" s="4" t="s">
        <v>129</v>
      </c>
      <c r="B228" s="4" t="s">
        <v>121</v>
      </c>
      <c r="C228" s="4" t="s">
        <v>113</v>
      </c>
      <c r="D228" s="4">
        <v>11</v>
      </c>
      <c r="E228" s="4">
        <f>'Raw Data'!P21</f>
        <v>0</v>
      </c>
      <c r="F228" s="4">
        <f>N('Raw Data'!$E21)</f>
        <v>0</v>
      </c>
      <c r="G228" s="4" t="str">
        <f t="shared" si="3"/>
        <v>Lagging</v>
      </c>
    </row>
    <row r="229" spans="1:7" x14ac:dyDescent="0.35">
      <c r="A229" s="4" t="s">
        <v>129</v>
      </c>
      <c r="B229" s="4" t="s">
        <v>121</v>
      </c>
      <c r="C229" s="4" t="s">
        <v>114</v>
      </c>
      <c r="D229" s="4">
        <v>12</v>
      </c>
      <c r="E229" s="4">
        <f>'Raw Data'!Q21</f>
        <v>0</v>
      </c>
      <c r="F229" s="4">
        <f>N('Raw Data'!$E21)</f>
        <v>0</v>
      </c>
      <c r="G229" s="4" t="str">
        <f t="shared" si="3"/>
        <v>Lagging</v>
      </c>
    </row>
    <row r="230" spans="1:7" x14ac:dyDescent="0.35">
      <c r="A230" s="4" t="s">
        <v>129</v>
      </c>
      <c r="B230" s="4" t="s">
        <v>68</v>
      </c>
      <c r="C230" s="4" t="s">
        <v>103</v>
      </c>
      <c r="D230" s="4">
        <v>1</v>
      </c>
      <c r="E230" s="4">
        <f>'Raw Data'!F22</f>
        <v>0</v>
      </c>
      <c r="F230" s="4">
        <f>N('Raw Data'!$E22)</f>
        <v>0</v>
      </c>
      <c r="G230" s="4" t="str">
        <f t="shared" si="3"/>
        <v>Lagging</v>
      </c>
    </row>
    <row r="231" spans="1:7" x14ac:dyDescent="0.35">
      <c r="A231" s="4" t="s">
        <v>129</v>
      </c>
      <c r="B231" s="4" t="s">
        <v>68</v>
      </c>
      <c r="C231" s="4" t="s">
        <v>104</v>
      </c>
      <c r="D231" s="4">
        <v>2</v>
      </c>
      <c r="E231" s="4">
        <f>'Raw Data'!G22</f>
        <v>0</v>
      </c>
      <c r="F231" s="4">
        <f>N('Raw Data'!$E22)</f>
        <v>0</v>
      </c>
      <c r="G231" s="4" t="str">
        <f t="shared" si="3"/>
        <v>Lagging</v>
      </c>
    </row>
    <row r="232" spans="1:7" x14ac:dyDescent="0.35">
      <c r="A232" s="4" t="s">
        <v>129</v>
      </c>
      <c r="B232" s="4" t="s">
        <v>68</v>
      </c>
      <c r="C232" s="4" t="s">
        <v>105</v>
      </c>
      <c r="D232" s="4">
        <v>3</v>
      </c>
      <c r="E232" s="4">
        <f>'Raw Data'!H22</f>
        <v>0</v>
      </c>
      <c r="F232" s="4">
        <f>N('Raw Data'!$E22)</f>
        <v>0</v>
      </c>
      <c r="G232" s="4" t="str">
        <f t="shared" si="3"/>
        <v>Lagging</v>
      </c>
    </row>
    <row r="233" spans="1:7" x14ac:dyDescent="0.35">
      <c r="A233" s="4" t="s">
        <v>129</v>
      </c>
      <c r="B233" s="4" t="s">
        <v>68</v>
      </c>
      <c r="C233" s="4" t="s">
        <v>106</v>
      </c>
      <c r="D233" s="4">
        <v>4</v>
      </c>
      <c r="E233" s="4">
        <f>'Raw Data'!I22</f>
        <v>1</v>
      </c>
      <c r="F233" s="4">
        <f>N('Raw Data'!$E22)</f>
        <v>0</v>
      </c>
      <c r="G233" s="4" t="str">
        <f t="shared" si="3"/>
        <v>Lagging</v>
      </c>
    </row>
    <row r="234" spans="1:7" x14ac:dyDescent="0.35">
      <c r="A234" s="4" t="s">
        <v>129</v>
      </c>
      <c r="B234" s="4" t="s">
        <v>68</v>
      </c>
      <c r="C234" s="4" t="s">
        <v>107</v>
      </c>
      <c r="D234" s="4">
        <v>5</v>
      </c>
      <c r="E234" s="4">
        <f>'Raw Data'!J22</f>
        <v>0</v>
      </c>
      <c r="F234" s="4">
        <f>N('Raw Data'!$E22)</f>
        <v>0</v>
      </c>
      <c r="G234" s="4" t="str">
        <f t="shared" si="3"/>
        <v>Lagging</v>
      </c>
    </row>
    <row r="235" spans="1:7" x14ac:dyDescent="0.35">
      <c r="A235" s="4" t="s">
        <v>129</v>
      </c>
      <c r="B235" s="4" t="s">
        <v>68</v>
      </c>
      <c r="C235" s="4" t="s">
        <v>108</v>
      </c>
      <c r="D235" s="4">
        <v>6</v>
      </c>
      <c r="E235" s="4">
        <f>'Raw Data'!K22</f>
        <v>0</v>
      </c>
      <c r="F235" s="4">
        <f>N('Raw Data'!$E22)</f>
        <v>0</v>
      </c>
      <c r="G235" s="4" t="str">
        <f t="shared" si="3"/>
        <v>Lagging</v>
      </c>
    </row>
    <row r="236" spans="1:7" x14ac:dyDescent="0.35">
      <c r="A236" s="4" t="s">
        <v>129</v>
      </c>
      <c r="B236" s="4" t="s">
        <v>68</v>
      </c>
      <c r="C236" s="4" t="s">
        <v>109</v>
      </c>
      <c r="D236" s="4">
        <v>7</v>
      </c>
      <c r="E236" s="4">
        <f>'Raw Data'!L22</f>
        <v>0</v>
      </c>
      <c r="F236" s="4">
        <f>N('Raw Data'!$E22)</f>
        <v>0</v>
      </c>
      <c r="G236" s="4" t="str">
        <f t="shared" si="3"/>
        <v>Lagging</v>
      </c>
    </row>
    <row r="237" spans="1:7" x14ac:dyDescent="0.35">
      <c r="A237" s="4" t="s">
        <v>129</v>
      </c>
      <c r="B237" s="4" t="s">
        <v>68</v>
      </c>
      <c r="C237" s="4" t="s">
        <v>110</v>
      </c>
      <c r="D237" s="4">
        <v>8</v>
      </c>
      <c r="E237" s="4">
        <f>'Raw Data'!M22</f>
        <v>0</v>
      </c>
      <c r="F237" s="4">
        <f>N('Raw Data'!$E22)</f>
        <v>0</v>
      </c>
      <c r="G237" s="4" t="str">
        <f t="shared" si="3"/>
        <v>Lagging</v>
      </c>
    </row>
    <row r="238" spans="1:7" x14ac:dyDescent="0.35">
      <c r="A238" s="4" t="s">
        <v>129</v>
      </c>
      <c r="B238" s="4" t="s">
        <v>68</v>
      </c>
      <c r="C238" s="4" t="s">
        <v>111</v>
      </c>
      <c r="D238" s="4">
        <v>9</v>
      </c>
      <c r="E238" s="4">
        <f>'Raw Data'!N22</f>
        <v>0</v>
      </c>
      <c r="F238" s="4">
        <f>N('Raw Data'!$E22)</f>
        <v>0</v>
      </c>
      <c r="G238" s="4" t="str">
        <f t="shared" si="3"/>
        <v>Lagging</v>
      </c>
    </row>
    <row r="239" spans="1:7" x14ac:dyDescent="0.35">
      <c r="A239" s="4" t="s">
        <v>129</v>
      </c>
      <c r="B239" s="4" t="s">
        <v>68</v>
      </c>
      <c r="C239" s="4" t="s">
        <v>112</v>
      </c>
      <c r="D239" s="4">
        <v>10</v>
      </c>
      <c r="E239" s="4">
        <f>'Raw Data'!O22</f>
        <v>0</v>
      </c>
      <c r="F239" s="4">
        <f>N('Raw Data'!$E22)</f>
        <v>0</v>
      </c>
      <c r="G239" s="4" t="str">
        <f t="shared" si="3"/>
        <v>Lagging</v>
      </c>
    </row>
    <row r="240" spans="1:7" x14ac:dyDescent="0.35">
      <c r="A240" s="4" t="s">
        <v>129</v>
      </c>
      <c r="B240" s="4" t="s">
        <v>68</v>
      </c>
      <c r="C240" s="4" t="s">
        <v>113</v>
      </c>
      <c r="D240" s="4">
        <v>11</v>
      </c>
      <c r="E240" s="4">
        <f>'Raw Data'!P22</f>
        <v>0</v>
      </c>
      <c r="F240" s="4">
        <f>N('Raw Data'!$E22)</f>
        <v>0</v>
      </c>
      <c r="G240" s="4" t="str">
        <f t="shared" si="3"/>
        <v>Lagging</v>
      </c>
    </row>
    <row r="241" spans="1:7" x14ac:dyDescent="0.35">
      <c r="A241" s="4" t="s">
        <v>129</v>
      </c>
      <c r="B241" s="4" t="s">
        <v>68</v>
      </c>
      <c r="C241" s="4" t="s">
        <v>114</v>
      </c>
      <c r="D241" s="4">
        <v>12</v>
      </c>
      <c r="E241" s="4">
        <f>'Raw Data'!Q22</f>
        <v>0</v>
      </c>
      <c r="F241" s="4">
        <f>N('Raw Data'!$E22)</f>
        <v>0</v>
      </c>
      <c r="G241" s="4" t="str">
        <f t="shared" si="3"/>
        <v>Lagging</v>
      </c>
    </row>
    <row r="242" spans="1:7" x14ac:dyDescent="0.35">
      <c r="A242" s="4" t="s">
        <v>129</v>
      </c>
      <c r="B242" s="4" t="s">
        <v>122</v>
      </c>
      <c r="C242" s="4" t="s">
        <v>103</v>
      </c>
      <c r="D242" s="4">
        <v>1</v>
      </c>
      <c r="E242" s="4">
        <f>'Raw Data'!F23</f>
        <v>0</v>
      </c>
      <c r="F242" s="4">
        <f>N('Raw Data'!$E23)</f>
        <v>0</v>
      </c>
      <c r="G242" s="4" t="str">
        <f t="shared" si="3"/>
        <v>Lagging</v>
      </c>
    </row>
    <row r="243" spans="1:7" x14ac:dyDescent="0.35">
      <c r="A243" s="4" t="s">
        <v>129</v>
      </c>
      <c r="B243" s="4" t="s">
        <v>122</v>
      </c>
      <c r="C243" s="4" t="s">
        <v>104</v>
      </c>
      <c r="D243" s="4">
        <v>2</v>
      </c>
      <c r="E243" s="4">
        <f>'Raw Data'!G23</f>
        <v>0</v>
      </c>
      <c r="F243" s="4">
        <f>N('Raw Data'!$E23)</f>
        <v>0</v>
      </c>
      <c r="G243" s="4" t="str">
        <f t="shared" si="3"/>
        <v>Lagging</v>
      </c>
    </row>
    <row r="244" spans="1:7" x14ac:dyDescent="0.35">
      <c r="A244" s="4" t="s">
        <v>129</v>
      </c>
      <c r="B244" s="4" t="s">
        <v>122</v>
      </c>
      <c r="C244" s="4" t="s">
        <v>105</v>
      </c>
      <c r="D244" s="4">
        <v>3</v>
      </c>
      <c r="E244" s="4">
        <f>'Raw Data'!H23</f>
        <v>0</v>
      </c>
      <c r="F244" s="4">
        <f>N('Raw Data'!$E23)</f>
        <v>0</v>
      </c>
      <c r="G244" s="4" t="str">
        <f t="shared" si="3"/>
        <v>Lagging</v>
      </c>
    </row>
    <row r="245" spans="1:7" x14ac:dyDescent="0.35">
      <c r="A245" s="4" t="s">
        <v>129</v>
      </c>
      <c r="B245" s="4" t="s">
        <v>122</v>
      </c>
      <c r="C245" s="4" t="s">
        <v>106</v>
      </c>
      <c r="D245" s="4">
        <v>4</v>
      </c>
      <c r="E245" s="4">
        <f>'Raw Data'!I23</f>
        <v>0</v>
      </c>
      <c r="F245" s="4">
        <f>N('Raw Data'!$E23)</f>
        <v>0</v>
      </c>
      <c r="G245" s="4" t="str">
        <f t="shared" si="3"/>
        <v>Lagging</v>
      </c>
    </row>
    <row r="246" spans="1:7" x14ac:dyDescent="0.35">
      <c r="A246" s="4" t="s">
        <v>129</v>
      </c>
      <c r="B246" s="4" t="s">
        <v>122</v>
      </c>
      <c r="C246" s="4" t="s">
        <v>107</v>
      </c>
      <c r="D246" s="4">
        <v>5</v>
      </c>
      <c r="E246" s="4">
        <f>'Raw Data'!J23</f>
        <v>0</v>
      </c>
      <c r="F246" s="4">
        <f>N('Raw Data'!$E23)</f>
        <v>0</v>
      </c>
      <c r="G246" s="4" t="str">
        <f t="shared" si="3"/>
        <v>Lagging</v>
      </c>
    </row>
    <row r="247" spans="1:7" x14ac:dyDescent="0.35">
      <c r="A247" s="4" t="s">
        <v>129</v>
      </c>
      <c r="B247" s="4" t="s">
        <v>122</v>
      </c>
      <c r="C247" s="4" t="s">
        <v>108</v>
      </c>
      <c r="D247" s="4">
        <v>6</v>
      </c>
      <c r="E247" s="4">
        <f>'Raw Data'!K23</f>
        <v>0</v>
      </c>
      <c r="F247" s="4">
        <f>N('Raw Data'!$E23)</f>
        <v>0</v>
      </c>
      <c r="G247" s="4" t="str">
        <f t="shared" si="3"/>
        <v>Lagging</v>
      </c>
    </row>
    <row r="248" spans="1:7" x14ac:dyDescent="0.35">
      <c r="A248" s="4" t="s">
        <v>129</v>
      </c>
      <c r="B248" s="4" t="s">
        <v>122</v>
      </c>
      <c r="C248" s="4" t="s">
        <v>109</v>
      </c>
      <c r="D248" s="4">
        <v>7</v>
      </c>
      <c r="E248" s="4">
        <f>'Raw Data'!L23</f>
        <v>0</v>
      </c>
      <c r="F248" s="4">
        <f>N('Raw Data'!$E23)</f>
        <v>0</v>
      </c>
      <c r="G248" s="4" t="str">
        <f t="shared" si="3"/>
        <v>Lagging</v>
      </c>
    </row>
    <row r="249" spans="1:7" x14ac:dyDescent="0.35">
      <c r="A249" s="4" t="s">
        <v>129</v>
      </c>
      <c r="B249" s="4" t="s">
        <v>122</v>
      </c>
      <c r="C249" s="4" t="s">
        <v>110</v>
      </c>
      <c r="D249" s="4">
        <v>8</v>
      </c>
      <c r="E249" s="4">
        <f>'Raw Data'!M23</f>
        <v>0</v>
      </c>
      <c r="F249" s="4">
        <f>N('Raw Data'!$E23)</f>
        <v>0</v>
      </c>
      <c r="G249" s="4" t="str">
        <f t="shared" si="3"/>
        <v>Lagging</v>
      </c>
    </row>
    <row r="250" spans="1:7" x14ac:dyDescent="0.35">
      <c r="A250" s="4" t="s">
        <v>129</v>
      </c>
      <c r="B250" s="4" t="s">
        <v>122</v>
      </c>
      <c r="C250" s="4" t="s">
        <v>111</v>
      </c>
      <c r="D250" s="4">
        <v>9</v>
      </c>
      <c r="E250" s="4">
        <f>'Raw Data'!N23</f>
        <v>0</v>
      </c>
      <c r="F250" s="4">
        <f>N('Raw Data'!$E23)</f>
        <v>0</v>
      </c>
      <c r="G250" s="4" t="str">
        <f t="shared" si="3"/>
        <v>Lagging</v>
      </c>
    </row>
    <row r="251" spans="1:7" x14ac:dyDescent="0.35">
      <c r="A251" s="4" t="s">
        <v>129</v>
      </c>
      <c r="B251" s="4" t="s">
        <v>122</v>
      </c>
      <c r="C251" s="4" t="s">
        <v>112</v>
      </c>
      <c r="D251" s="4">
        <v>10</v>
      </c>
      <c r="E251" s="4">
        <f>'Raw Data'!O23</f>
        <v>0</v>
      </c>
      <c r="F251" s="4">
        <f>N('Raw Data'!$E23)</f>
        <v>0</v>
      </c>
      <c r="G251" s="4" t="str">
        <f t="shared" si="3"/>
        <v>Lagging</v>
      </c>
    </row>
    <row r="252" spans="1:7" x14ac:dyDescent="0.35">
      <c r="A252" s="4" t="s">
        <v>129</v>
      </c>
      <c r="B252" s="4" t="s">
        <v>122</v>
      </c>
      <c r="C252" s="4" t="s">
        <v>113</v>
      </c>
      <c r="D252" s="4">
        <v>11</v>
      </c>
      <c r="E252" s="4">
        <f>'Raw Data'!P23</f>
        <v>0</v>
      </c>
      <c r="F252" s="4">
        <f>N('Raw Data'!$E23)</f>
        <v>0</v>
      </c>
      <c r="G252" s="4" t="str">
        <f t="shared" si="3"/>
        <v>Lagging</v>
      </c>
    </row>
    <row r="253" spans="1:7" x14ac:dyDescent="0.35">
      <c r="A253" s="4" t="s">
        <v>129</v>
      </c>
      <c r="B253" s="4" t="s">
        <v>122</v>
      </c>
      <c r="C253" s="4" t="s">
        <v>114</v>
      </c>
      <c r="D253" s="4">
        <v>12</v>
      </c>
      <c r="E253" s="4">
        <f>'Raw Data'!Q23</f>
        <v>0</v>
      </c>
      <c r="F253" s="4">
        <f>N('Raw Data'!$E23)</f>
        <v>0</v>
      </c>
      <c r="G253" s="4" t="str">
        <f t="shared" si="3"/>
        <v>Lagging</v>
      </c>
    </row>
    <row r="254" spans="1:7" x14ac:dyDescent="0.35">
      <c r="A254" s="4" t="s">
        <v>129</v>
      </c>
      <c r="B254" s="4" t="s">
        <v>123</v>
      </c>
      <c r="C254" s="4" t="s">
        <v>103</v>
      </c>
      <c r="D254" s="4">
        <v>1</v>
      </c>
      <c r="E254" s="4">
        <f>'Raw Data'!F24</f>
        <v>0</v>
      </c>
      <c r="F254" s="4">
        <f>N('Raw Data'!$E24)</f>
        <v>0</v>
      </c>
      <c r="G254" s="4" t="str">
        <f t="shared" si="3"/>
        <v>Lagging</v>
      </c>
    </row>
    <row r="255" spans="1:7" x14ac:dyDescent="0.35">
      <c r="A255" s="4" t="s">
        <v>129</v>
      </c>
      <c r="B255" s="4" t="s">
        <v>123</v>
      </c>
      <c r="C255" s="4" t="s">
        <v>104</v>
      </c>
      <c r="D255" s="4">
        <v>2</v>
      </c>
      <c r="E255" s="4">
        <f>'Raw Data'!G24</f>
        <v>0</v>
      </c>
      <c r="F255" s="4">
        <f>N('Raw Data'!$E24)</f>
        <v>0</v>
      </c>
      <c r="G255" s="4" t="str">
        <f t="shared" si="3"/>
        <v>Lagging</v>
      </c>
    </row>
    <row r="256" spans="1:7" x14ac:dyDescent="0.35">
      <c r="A256" s="4" t="s">
        <v>129</v>
      </c>
      <c r="B256" s="4" t="s">
        <v>123</v>
      </c>
      <c r="C256" s="4" t="s">
        <v>105</v>
      </c>
      <c r="D256" s="4">
        <v>3</v>
      </c>
      <c r="E256" s="4">
        <f>'Raw Data'!H24</f>
        <v>0</v>
      </c>
      <c r="F256" s="4">
        <f>N('Raw Data'!$E24)</f>
        <v>0</v>
      </c>
      <c r="G256" s="4" t="str">
        <f t="shared" si="3"/>
        <v>Lagging</v>
      </c>
    </row>
    <row r="257" spans="1:7" x14ac:dyDescent="0.35">
      <c r="A257" s="4" t="s">
        <v>129</v>
      </c>
      <c r="B257" s="4" t="s">
        <v>123</v>
      </c>
      <c r="C257" s="4" t="s">
        <v>106</v>
      </c>
      <c r="D257" s="4">
        <v>4</v>
      </c>
      <c r="E257" s="4">
        <f>'Raw Data'!I24</f>
        <v>0</v>
      </c>
      <c r="F257" s="4">
        <f>N('Raw Data'!$E24)</f>
        <v>0</v>
      </c>
      <c r="G257" s="4" t="str">
        <f t="shared" si="3"/>
        <v>Lagging</v>
      </c>
    </row>
    <row r="258" spans="1:7" x14ac:dyDescent="0.35">
      <c r="A258" s="4" t="s">
        <v>129</v>
      </c>
      <c r="B258" s="4" t="s">
        <v>123</v>
      </c>
      <c r="C258" s="4" t="s">
        <v>107</v>
      </c>
      <c r="D258" s="4">
        <v>5</v>
      </c>
      <c r="E258" s="4">
        <f>'Raw Data'!J24</f>
        <v>0</v>
      </c>
      <c r="F258" s="4">
        <f>N('Raw Data'!$E24)</f>
        <v>0</v>
      </c>
      <c r="G258" s="4" t="str">
        <f t="shared" ref="G258:G321" si="4">IF(COUNTIF($I$2:$I$8,$B258),"Leading",IF(COUNTIF($K$2:$K$8,$B258),"Lagging",""))</f>
        <v>Lagging</v>
      </c>
    </row>
    <row r="259" spans="1:7" x14ac:dyDescent="0.35">
      <c r="A259" s="4" t="s">
        <v>129</v>
      </c>
      <c r="B259" s="4" t="s">
        <v>123</v>
      </c>
      <c r="C259" s="4" t="s">
        <v>108</v>
      </c>
      <c r="D259" s="4">
        <v>6</v>
      </c>
      <c r="E259" s="4">
        <f>'Raw Data'!K24</f>
        <v>0</v>
      </c>
      <c r="F259" s="4">
        <f>N('Raw Data'!$E24)</f>
        <v>0</v>
      </c>
      <c r="G259" s="4" t="str">
        <f t="shared" si="4"/>
        <v>Lagging</v>
      </c>
    </row>
    <row r="260" spans="1:7" x14ac:dyDescent="0.35">
      <c r="A260" s="4" t="s">
        <v>129</v>
      </c>
      <c r="B260" s="4" t="s">
        <v>123</v>
      </c>
      <c r="C260" s="4" t="s">
        <v>109</v>
      </c>
      <c r="D260" s="4">
        <v>7</v>
      </c>
      <c r="E260" s="4">
        <f>'Raw Data'!L24</f>
        <v>0</v>
      </c>
      <c r="F260" s="4">
        <f>N('Raw Data'!$E24)</f>
        <v>0</v>
      </c>
      <c r="G260" s="4" t="str">
        <f t="shared" si="4"/>
        <v>Lagging</v>
      </c>
    </row>
    <row r="261" spans="1:7" x14ac:dyDescent="0.35">
      <c r="A261" s="4" t="s">
        <v>129</v>
      </c>
      <c r="B261" s="4" t="s">
        <v>123</v>
      </c>
      <c r="C261" s="4" t="s">
        <v>110</v>
      </c>
      <c r="D261" s="4">
        <v>8</v>
      </c>
      <c r="E261" s="4">
        <f>'Raw Data'!M24</f>
        <v>0</v>
      </c>
      <c r="F261" s="4">
        <f>N('Raw Data'!$E24)</f>
        <v>0</v>
      </c>
      <c r="G261" s="4" t="str">
        <f t="shared" si="4"/>
        <v>Lagging</v>
      </c>
    </row>
    <row r="262" spans="1:7" x14ac:dyDescent="0.35">
      <c r="A262" s="4" t="s">
        <v>129</v>
      </c>
      <c r="B262" s="4" t="s">
        <v>123</v>
      </c>
      <c r="C262" s="4" t="s">
        <v>111</v>
      </c>
      <c r="D262" s="4">
        <v>9</v>
      </c>
      <c r="E262" s="4">
        <f>'Raw Data'!N24</f>
        <v>0</v>
      </c>
      <c r="F262" s="4">
        <f>N('Raw Data'!$E24)</f>
        <v>0</v>
      </c>
      <c r="G262" s="4" t="str">
        <f t="shared" si="4"/>
        <v>Lagging</v>
      </c>
    </row>
    <row r="263" spans="1:7" x14ac:dyDescent="0.35">
      <c r="A263" s="4" t="s">
        <v>129</v>
      </c>
      <c r="B263" s="4" t="s">
        <v>123</v>
      </c>
      <c r="C263" s="4" t="s">
        <v>112</v>
      </c>
      <c r="D263" s="4">
        <v>10</v>
      </c>
      <c r="E263" s="4">
        <f>'Raw Data'!O24</f>
        <v>0</v>
      </c>
      <c r="F263" s="4">
        <f>N('Raw Data'!$E24)</f>
        <v>0</v>
      </c>
      <c r="G263" s="4" t="str">
        <f t="shared" si="4"/>
        <v>Lagging</v>
      </c>
    </row>
    <row r="264" spans="1:7" x14ac:dyDescent="0.35">
      <c r="A264" s="4" t="s">
        <v>129</v>
      </c>
      <c r="B264" s="4" t="s">
        <v>123</v>
      </c>
      <c r="C264" s="4" t="s">
        <v>113</v>
      </c>
      <c r="D264" s="4">
        <v>11</v>
      </c>
      <c r="E264" s="4">
        <f>'Raw Data'!P24</f>
        <v>0</v>
      </c>
      <c r="F264" s="4">
        <f>N('Raw Data'!$E24)</f>
        <v>0</v>
      </c>
      <c r="G264" s="4" t="str">
        <f t="shared" si="4"/>
        <v>Lagging</v>
      </c>
    </row>
    <row r="265" spans="1:7" x14ac:dyDescent="0.35">
      <c r="A265" s="4" t="s">
        <v>129</v>
      </c>
      <c r="B265" s="4" t="s">
        <v>123</v>
      </c>
      <c r="C265" s="4" t="s">
        <v>114</v>
      </c>
      <c r="D265" s="4">
        <v>12</v>
      </c>
      <c r="E265" s="4">
        <f>'Raw Data'!Q24</f>
        <v>0</v>
      </c>
      <c r="F265" s="4">
        <f>N('Raw Data'!$E24)</f>
        <v>0</v>
      </c>
      <c r="G265" s="4" t="str">
        <f t="shared" si="4"/>
        <v>Lagging</v>
      </c>
    </row>
    <row r="266" spans="1:7" x14ac:dyDescent="0.35">
      <c r="A266" s="4" t="s">
        <v>129</v>
      </c>
      <c r="B266" s="4" t="s">
        <v>124</v>
      </c>
      <c r="C266" s="4" t="s">
        <v>103</v>
      </c>
      <c r="D266" s="4">
        <v>1</v>
      </c>
      <c r="E266" s="4">
        <f>'Raw Data'!F25</f>
        <v>0</v>
      </c>
      <c r="F266" s="4">
        <f>N('Raw Data'!$E25)</f>
        <v>0</v>
      </c>
      <c r="G266" s="4" t="str">
        <f t="shared" si="4"/>
        <v>Lagging</v>
      </c>
    </row>
    <row r="267" spans="1:7" x14ac:dyDescent="0.35">
      <c r="A267" s="4" t="s">
        <v>129</v>
      </c>
      <c r="B267" s="4" t="s">
        <v>124</v>
      </c>
      <c r="C267" s="4" t="s">
        <v>104</v>
      </c>
      <c r="D267" s="4">
        <v>2</v>
      </c>
      <c r="E267" s="4">
        <f>'Raw Data'!G25</f>
        <v>0</v>
      </c>
      <c r="F267" s="4">
        <f>N('Raw Data'!$E25)</f>
        <v>0</v>
      </c>
      <c r="G267" s="4" t="str">
        <f t="shared" si="4"/>
        <v>Lagging</v>
      </c>
    </row>
    <row r="268" spans="1:7" x14ac:dyDescent="0.35">
      <c r="A268" s="4" t="s">
        <v>129</v>
      </c>
      <c r="B268" s="4" t="s">
        <v>124</v>
      </c>
      <c r="C268" s="4" t="s">
        <v>105</v>
      </c>
      <c r="D268" s="4">
        <v>3</v>
      </c>
      <c r="E268" s="4">
        <f>'Raw Data'!H25</f>
        <v>0</v>
      </c>
      <c r="F268" s="4">
        <f>N('Raw Data'!$E25)</f>
        <v>0</v>
      </c>
      <c r="G268" s="4" t="str">
        <f t="shared" si="4"/>
        <v>Lagging</v>
      </c>
    </row>
    <row r="269" spans="1:7" x14ac:dyDescent="0.35">
      <c r="A269" s="4" t="s">
        <v>129</v>
      </c>
      <c r="B269" s="4" t="s">
        <v>124</v>
      </c>
      <c r="C269" s="4" t="s">
        <v>106</v>
      </c>
      <c r="D269" s="4">
        <v>4</v>
      </c>
      <c r="E269" s="4">
        <f>'Raw Data'!I25</f>
        <v>0</v>
      </c>
      <c r="F269" s="4">
        <f>N('Raw Data'!$E25)</f>
        <v>0</v>
      </c>
      <c r="G269" s="4" t="str">
        <f t="shared" si="4"/>
        <v>Lagging</v>
      </c>
    </row>
    <row r="270" spans="1:7" x14ac:dyDescent="0.35">
      <c r="A270" s="4" t="s">
        <v>129</v>
      </c>
      <c r="B270" s="4" t="s">
        <v>124</v>
      </c>
      <c r="C270" s="4" t="s">
        <v>107</v>
      </c>
      <c r="D270" s="4">
        <v>5</v>
      </c>
      <c r="E270" s="4">
        <f>'Raw Data'!J25</f>
        <v>0</v>
      </c>
      <c r="F270" s="4">
        <f>N('Raw Data'!$E25)</f>
        <v>0</v>
      </c>
      <c r="G270" s="4" t="str">
        <f t="shared" si="4"/>
        <v>Lagging</v>
      </c>
    </row>
    <row r="271" spans="1:7" x14ac:dyDescent="0.35">
      <c r="A271" s="4" t="s">
        <v>129</v>
      </c>
      <c r="B271" s="4" t="s">
        <v>124</v>
      </c>
      <c r="C271" s="4" t="s">
        <v>108</v>
      </c>
      <c r="D271" s="4">
        <v>6</v>
      </c>
      <c r="E271" s="4">
        <f>'Raw Data'!K25</f>
        <v>0</v>
      </c>
      <c r="F271" s="4">
        <f>N('Raw Data'!$E25)</f>
        <v>0</v>
      </c>
      <c r="G271" s="4" t="str">
        <f t="shared" si="4"/>
        <v>Lagging</v>
      </c>
    </row>
    <row r="272" spans="1:7" x14ac:dyDescent="0.35">
      <c r="A272" s="4" t="s">
        <v>129</v>
      </c>
      <c r="B272" s="4" t="s">
        <v>124</v>
      </c>
      <c r="C272" s="4" t="s">
        <v>109</v>
      </c>
      <c r="D272" s="4">
        <v>7</v>
      </c>
      <c r="E272" s="4">
        <f>'Raw Data'!L25</f>
        <v>0</v>
      </c>
      <c r="F272" s="4">
        <f>N('Raw Data'!$E25)</f>
        <v>0</v>
      </c>
      <c r="G272" s="4" t="str">
        <f t="shared" si="4"/>
        <v>Lagging</v>
      </c>
    </row>
    <row r="273" spans="1:7" x14ac:dyDescent="0.35">
      <c r="A273" s="4" t="s">
        <v>129</v>
      </c>
      <c r="B273" s="4" t="s">
        <v>124</v>
      </c>
      <c r="C273" s="4" t="s">
        <v>110</v>
      </c>
      <c r="D273" s="4">
        <v>8</v>
      </c>
      <c r="E273" s="4">
        <f>'Raw Data'!M25</f>
        <v>0</v>
      </c>
      <c r="F273" s="4">
        <f>N('Raw Data'!$E25)</f>
        <v>0</v>
      </c>
      <c r="G273" s="4" t="str">
        <f t="shared" si="4"/>
        <v>Lagging</v>
      </c>
    </row>
    <row r="274" spans="1:7" x14ac:dyDescent="0.35">
      <c r="A274" s="4" t="s">
        <v>129</v>
      </c>
      <c r="B274" s="4" t="s">
        <v>124</v>
      </c>
      <c r="C274" s="4" t="s">
        <v>111</v>
      </c>
      <c r="D274" s="4">
        <v>9</v>
      </c>
      <c r="E274" s="4">
        <f>'Raw Data'!N25</f>
        <v>0</v>
      </c>
      <c r="F274" s="4">
        <f>N('Raw Data'!$E25)</f>
        <v>0</v>
      </c>
      <c r="G274" s="4" t="str">
        <f t="shared" si="4"/>
        <v>Lagging</v>
      </c>
    </row>
    <row r="275" spans="1:7" x14ac:dyDescent="0.35">
      <c r="A275" s="4" t="s">
        <v>129</v>
      </c>
      <c r="B275" s="4" t="s">
        <v>124</v>
      </c>
      <c r="C275" s="4" t="s">
        <v>112</v>
      </c>
      <c r="D275" s="4">
        <v>10</v>
      </c>
      <c r="E275" s="4">
        <f>'Raw Data'!O25</f>
        <v>0</v>
      </c>
      <c r="F275" s="4">
        <f>N('Raw Data'!$E25)</f>
        <v>0</v>
      </c>
      <c r="G275" s="4" t="str">
        <f t="shared" si="4"/>
        <v>Lagging</v>
      </c>
    </row>
    <row r="276" spans="1:7" x14ac:dyDescent="0.35">
      <c r="A276" s="4" t="s">
        <v>129</v>
      </c>
      <c r="B276" s="4" t="s">
        <v>124</v>
      </c>
      <c r="C276" s="4" t="s">
        <v>113</v>
      </c>
      <c r="D276" s="4">
        <v>11</v>
      </c>
      <c r="E276" s="4">
        <f>'Raw Data'!P25</f>
        <v>0</v>
      </c>
      <c r="F276" s="4">
        <f>N('Raw Data'!$E25)</f>
        <v>0</v>
      </c>
      <c r="G276" s="4" t="str">
        <f t="shared" si="4"/>
        <v>Lagging</v>
      </c>
    </row>
    <row r="277" spans="1:7" x14ac:dyDescent="0.35">
      <c r="A277" s="4" t="s">
        <v>129</v>
      </c>
      <c r="B277" s="4" t="s">
        <v>124</v>
      </c>
      <c r="C277" s="4" t="s">
        <v>114</v>
      </c>
      <c r="D277" s="4">
        <v>12</v>
      </c>
      <c r="E277" s="4">
        <f>'Raw Data'!Q25</f>
        <v>0</v>
      </c>
      <c r="F277" s="4">
        <f>N('Raw Data'!$E25)</f>
        <v>0</v>
      </c>
      <c r="G277" s="4" t="str">
        <f t="shared" si="4"/>
        <v>Lagging</v>
      </c>
    </row>
    <row r="278" spans="1:7" x14ac:dyDescent="0.35">
      <c r="A278" s="4" t="s">
        <v>129</v>
      </c>
      <c r="B278" s="4" t="s">
        <v>51</v>
      </c>
      <c r="C278" s="4" t="s">
        <v>103</v>
      </c>
      <c r="D278" s="4">
        <v>1</v>
      </c>
      <c r="E278" s="4">
        <f>'Raw Data'!F26</f>
        <v>0</v>
      </c>
      <c r="F278" s="4">
        <f>N('Raw Data'!$E26)</f>
        <v>0</v>
      </c>
      <c r="G278" s="4" t="str">
        <f t="shared" si="4"/>
        <v>Lagging</v>
      </c>
    </row>
    <row r="279" spans="1:7" x14ac:dyDescent="0.35">
      <c r="A279" s="4" t="s">
        <v>129</v>
      </c>
      <c r="B279" s="4" t="s">
        <v>51</v>
      </c>
      <c r="C279" s="4" t="s">
        <v>104</v>
      </c>
      <c r="D279" s="4">
        <v>2</v>
      </c>
      <c r="E279" s="4">
        <f>'Raw Data'!G26</f>
        <v>0</v>
      </c>
      <c r="F279" s="4">
        <f>N('Raw Data'!$E26)</f>
        <v>0</v>
      </c>
      <c r="G279" s="4" t="str">
        <f t="shared" si="4"/>
        <v>Lagging</v>
      </c>
    </row>
    <row r="280" spans="1:7" x14ac:dyDescent="0.35">
      <c r="A280" s="4" t="s">
        <v>129</v>
      </c>
      <c r="B280" s="4" t="s">
        <v>51</v>
      </c>
      <c r="C280" s="4" t="s">
        <v>105</v>
      </c>
      <c r="D280" s="4">
        <v>3</v>
      </c>
      <c r="E280" s="4">
        <f>'Raw Data'!H26</f>
        <v>0</v>
      </c>
      <c r="F280" s="4">
        <f>N('Raw Data'!$E26)</f>
        <v>0</v>
      </c>
      <c r="G280" s="4" t="str">
        <f t="shared" si="4"/>
        <v>Lagging</v>
      </c>
    </row>
    <row r="281" spans="1:7" x14ac:dyDescent="0.35">
      <c r="A281" s="4" t="s">
        <v>129</v>
      </c>
      <c r="B281" s="4" t="s">
        <v>51</v>
      </c>
      <c r="C281" s="4" t="s">
        <v>106</v>
      </c>
      <c r="D281" s="4">
        <v>4</v>
      </c>
      <c r="E281" s="4">
        <f>'Raw Data'!I26</f>
        <v>0</v>
      </c>
      <c r="F281" s="4">
        <f>N('Raw Data'!$E26)</f>
        <v>0</v>
      </c>
      <c r="G281" s="4" t="str">
        <f t="shared" si="4"/>
        <v>Lagging</v>
      </c>
    </row>
    <row r="282" spans="1:7" x14ac:dyDescent="0.35">
      <c r="A282" s="4" t="s">
        <v>129</v>
      </c>
      <c r="B282" s="4" t="s">
        <v>51</v>
      </c>
      <c r="C282" s="4" t="s">
        <v>107</v>
      </c>
      <c r="D282" s="4">
        <v>5</v>
      </c>
      <c r="E282" s="4">
        <f>'Raw Data'!J26</f>
        <v>0</v>
      </c>
      <c r="F282" s="4">
        <f>N('Raw Data'!$E26)</f>
        <v>0</v>
      </c>
      <c r="G282" s="4" t="str">
        <f t="shared" si="4"/>
        <v>Lagging</v>
      </c>
    </row>
    <row r="283" spans="1:7" x14ac:dyDescent="0.35">
      <c r="A283" s="4" t="s">
        <v>129</v>
      </c>
      <c r="B283" s="4" t="s">
        <v>51</v>
      </c>
      <c r="C283" s="4" t="s">
        <v>108</v>
      </c>
      <c r="D283" s="4">
        <v>6</v>
      </c>
      <c r="E283" s="4">
        <f>'Raw Data'!K26</f>
        <v>0</v>
      </c>
      <c r="F283" s="4">
        <f>N('Raw Data'!$E26)</f>
        <v>0</v>
      </c>
      <c r="G283" s="4" t="str">
        <f t="shared" si="4"/>
        <v>Lagging</v>
      </c>
    </row>
    <row r="284" spans="1:7" x14ac:dyDescent="0.35">
      <c r="A284" s="4" t="s">
        <v>129</v>
      </c>
      <c r="B284" s="4" t="s">
        <v>51</v>
      </c>
      <c r="C284" s="4" t="s">
        <v>109</v>
      </c>
      <c r="D284" s="4">
        <v>7</v>
      </c>
      <c r="E284" s="4">
        <f>'Raw Data'!L26</f>
        <v>0</v>
      </c>
      <c r="F284" s="4">
        <f>N('Raw Data'!$E26)</f>
        <v>0</v>
      </c>
      <c r="G284" s="4" t="str">
        <f t="shared" si="4"/>
        <v>Lagging</v>
      </c>
    </row>
    <row r="285" spans="1:7" x14ac:dyDescent="0.35">
      <c r="A285" s="4" t="s">
        <v>129</v>
      </c>
      <c r="B285" s="4" t="s">
        <v>51</v>
      </c>
      <c r="C285" s="4" t="s">
        <v>110</v>
      </c>
      <c r="D285" s="4">
        <v>8</v>
      </c>
      <c r="E285" s="4">
        <f>'Raw Data'!M26</f>
        <v>0</v>
      </c>
      <c r="F285" s="4">
        <f>N('Raw Data'!$E26)</f>
        <v>0</v>
      </c>
      <c r="G285" s="4" t="str">
        <f t="shared" si="4"/>
        <v>Lagging</v>
      </c>
    </row>
    <row r="286" spans="1:7" x14ac:dyDescent="0.35">
      <c r="A286" s="4" t="s">
        <v>129</v>
      </c>
      <c r="B286" s="4" t="s">
        <v>51</v>
      </c>
      <c r="C286" s="4" t="s">
        <v>111</v>
      </c>
      <c r="D286" s="4">
        <v>9</v>
      </c>
      <c r="E286" s="4">
        <f>'Raw Data'!N26</f>
        <v>0</v>
      </c>
      <c r="F286" s="4">
        <f>N('Raw Data'!$E26)</f>
        <v>0</v>
      </c>
      <c r="G286" s="4" t="str">
        <f t="shared" si="4"/>
        <v>Lagging</v>
      </c>
    </row>
    <row r="287" spans="1:7" x14ac:dyDescent="0.35">
      <c r="A287" s="4" t="s">
        <v>129</v>
      </c>
      <c r="B287" s="4" t="s">
        <v>51</v>
      </c>
      <c r="C287" s="4" t="s">
        <v>112</v>
      </c>
      <c r="D287" s="4">
        <v>10</v>
      </c>
      <c r="E287" s="4">
        <f>'Raw Data'!O26</f>
        <v>0</v>
      </c>
      <c r="F287" s="4">
        <f>N('Raw Data'!$E26)</f>
        <v>0</v>
      </c>
      <c r="G287" s="4" t="str">
        <f t="shared" si="4"/>
        <v>Lagging</v>
      </c>
    </row>
    <row r="288" spans="1:7" x14ac:dyDescent="0.35">
      <c r="A288" s="4" t="s">
        <v>129</v>
      </c>
      <c r="B288" s="4" t="s">
        <v>51</v>
      </c>
      <c r="C288" s="4" t="s">
        <v>113</v>
      </c>
      <c r="D288" s="4">
        <v>11</v>
      </c>
      <c r="E288" s="4">
        <f>'Raw Data'!P26</f>
        <v>0</v>
      </c>
      <c r="F288" s="4">
        <f>N('Raw Data'!$E26)</f>
        <v>0</v>
      </c>
      <c r="G288" s="4" t="str">
        <f t="shared" si="4"/>
        <v>Lagging</v>
      </c>
    </row>
    <row r="289" spans="1:7" x14ac:dyDescent="0.35">
      <c r="A289" s="4" t="s">
        <v>129</v>
      </c>
      <c r="B289" s="4" t="s">
        <v>51</v>
      </c>
      <c r="C289" s="4" t="s">
        <v>114</v>
      </c>
      <c r="D289" s="4">
        <v>12</v>
      </c>
      <c r="E289" s="4">
        <f>'Raw Data'!Q26</f>
        <v>0</v>
      </c>
      <c r="F289" s="4">
        <f>N('Raw Data'!$E26)</f>
        <v>0</v>
      </c>
      <c r="G289" s="4" t="str">
        <f t="shared" si="4"/>
        <v>Lagging</v>
      </c>
    </row>
    <row r="290" spans="1:7" x14ac:dyDescent="0.35">
      <c r="A290" s="4" t="s">
        <v>129</v>
      </c>
      <c r="B290" s="4" t="s">
        <v>125</v>
      </c>
      <c r="C290" s="4" t="s">
        <v>103</v>
      </c>
      <c r="D290" s="4">
        <v>1</v>
      </c>
      <c r="E290" s="4">
        <f>'Raw Data'!F27</f>
        <v>0</v>
      </c>
      <c r="F290" s="4">
        <f>N('Raw Data'!$E27)</f>
        <v>2</v>
      </c>
      <c r="G290" s="4" t="str">
        <f t="shared" si="4"/>
        <v>Leading</v>
      </c>
    </row>
    <row r="291" spans="1:7" x14ac:dyDescent="0.35">
      <c r="A291" s="4" t="s">
        <v>129</v>
      </c>
      <c r="B291" s="4" t="s">
        <v>125</v>
      </c>
      <c r="C291" s="4" t="s">
        <v>104</v>
      </c>
      <c r="D291" s="4">
        <v>2</v>
      </c>
      <c r="E291" s="4">
        <f>'Raw Data'!G27</f>
        <v>5</v>
      </c>
      <c r="F291" s="4">
        <f>N('Raw Data'!$E27)</f>
        <v>2</v>
      </c>
      <c r="G291" s="4" t="str">
        <f t="shared" si="4"/>
        <v>Leading</v>
      </c>
    </row>
    <row r="292" spans="1:7" x14ac:dyDescent="0.35">
      <c r="A292" s="4" t="s">
        <v>129</v>
      </c>
      <c r="B292" s="4" t="s">
        <v>125</v>
      </c>
      <c r="C292" s="4" t="s">
        <v>105</v>
      </c>
      <c r="D292" s="4">
        <v>3</v>
      </c>
      <c r="E292" s="4">
        <f>'Raw Data'!H27</f>
        <v>1</v>
      </c>
      <c r="F292" s="4">
        <f>N('Raw Data'!$E27)</f>
        <v>2</v>
      </c>
      <c r="G292" s="4" t="str">
        <f t="shared" si="4"/>
        <v>Leading</v>
      </c>
    </row>
    <row r="293" spans="1:7" x14ac:dyDescent="0.35">
      <c r="A293" s="4" t="s">
        <v>129</v>
      </c>
      <c r="B293" s="4" t="s">
        <v>125</v>
      </c>
      <c r="C293" s="4" t="s">
        <v>106</v>
      </c>
      <c r="D293" s="4">
        <v>4</v>
      </c>
      <c r="E293" s="4">
        <f>'Raw Data'!I27</f>
        <v>3</v>
      </c>
      <c r="F293" s="4">
        <f>N('Raw Data'!$E27)</f>
        <v>2</v>
      </c>
      <c r="G293" s="4" t="str">
        <f t="shared" si="4"/>
        <v>Leading</v>
      </c>
    </row>
    <row r="294" spans="1:7" x14ac:dyDescent="0.35">
      <c r="A294" s="4" t="s">
        <v>129</v>
      </c>
      <c r="B294" s="4" t="s">
        <v>125</v>
      </c>
      <c r="C294" s="4" t="s">
        <v>107</v>
      </c>
      <c r="D294" s="4">
        <v>5</v>
      </c>
      <c r="E294" s="4">
        <f>'Raw Data'!J27</f>
        <v>3</v>
      </c>
      <c r="F294" s="4">
        <f>N('Raw Data'!$E27)</f>
        <v>2</v>
      </c>
      <c r="G294" s="4" t="str">
        <f t="shared" si="4"/>
        <v>Leading</v>
      </c>
    </row>
    <row r="295" spans="1:7" x14ac:dyDescent="0.35">
      <c r="A295" s="4" t="s">
        <v>129</v>
      </c>
      <c r="B295" s="4" t="s">
        <v>125</v>
      </c>
      <c r="C295" s="4" t="s">
        <v>108</v>
      </c>
      <c r="D295" s="4">
        <v>6</v>
      </c>
      <c r="E295" s="4">
        <f>'Raw Data'!K27</f>
        <v>0</v>
      </c>
      <c r="F295" s="4">
        <f>N('Raw Data'!$E27)</f>
        <v>2</v>
      </c>
      <c r="G295" s="4" t="str">
        <f t="shared" si="4"/>
        <v>Leading</v>
      </c>
    </row>
    <row r="296" spans="1:7" x14ac:dyDescent="0.35">
      <c r="A296" s="4" t="s">
        <v>129</v>
      </c>
      <c r="B296" s="4" t="s">
        <v>125</v>
      </c>
      <c r="C296" s="4" t="s">
        <v>109</v>
      </c>
      <c r="D296" s="4">
        <v>7</v>
      </c>
      <c r="E296" s="4">
        <f>'Raw Data'!L27</f>
        <v>0</v>
      </c>
      <c r="F296" s="4">
        <f>N('Raw Data'!$E27)</f>
        <v>2</v>
      </c>
      <c r="G296" s="4" t="str">
        <f t="shared" si="4"/>
        <v>Leading</v>
      </c>
    </row>
    <row r="297" spans="1:7" x14ac:dyDescent="0.35">
      <c r="A297" s="4" t="s">
        <v>129</v>
      </c>
      <c r="B297" s="4" t="s">
        <v>125</v>
      </c>
      <c r="C297" s="4" t="s">
        <v>110</v>
      </c>
      <c r="D297" s="4">
        <v>8</v>
      </c>
      <c r="E297" s="4">
        <f>'Raw Data'!M27</f>
        <v>0</v>
      </c>
      <c r="F297" s="4">
        <f>N('Raw Data'!$E27)</f>
        <v>2</v>
      </c>
      <c r="G297" s="4" t="str">
        <f t="shared" si="4"/>
        <v>Leading</v>
      </c>
    </row>
    <row r="298" spans="1:7" x14ac:dyDescent="0.35">
      <c r="A298" s="4" t="s">
        <v>129</v>
      </c>
      <c r="B298" s="4" t="s">
        <v>125</v>
      </c>
      <c r="C298" s="4" t="s">
        <v>111</v>
      </c>
      <c r="D298" s="4">
        <v>9</v>
      </c>
      <c r="E298" s="4">
        <f>'Raw Data'!N27</f>
        <v>0</v>
      </c>
      <c r="F298" s="4">
        <f>N('Raw Data'!$E27)</f>
        <v>2</v>
      </c>
      <c r="G298" s="4" t="str">
        <f t="shared" si="4"/>
        <v>Leading</v>
      </c>
    </row>
    <row r="299" spans="1:7" x14ac:dyDescent="0.35">
      <c r="A299" s="4" t="s">
        <v>129</v>
      </c>
      <c r="B299" s="4" t="s">
        <v>125</v>
      </c>
      <c r="C299" s="4" t="s">
        <v>112</v>
      </c>
      <c r="D299" s="4">
        <v>10</v>
      </c>
      <c r="E299" s="4">
        <f>'Raw Data'!O27</f>
        <v>0</v>
      </c>
      <c r="F299" s="4">
        <f>N('Raw Data'!$E27)</f>
        <v>2</v>
      </c>
      <c r="G299" s="4" t="str">
        <f t="shared" si="4"/>
        <v>Leading</v>
      </c>
    </row>
    <row r="300" spans="1:7" x14ac:dyDescent="0.35">
      <c r="A300" s="4" t="s">
        <v>129</v>
      </c>
      <c r="B300" s="4" t="s">
        <v>125</v>
      </c>
      <c r="C300" s="4" t="s">
        <v>113</v>
      </c>
      <c r="D300" s="4">
        <v>11</v>
      </c>
      <c r="E300" s="4">
        <f>'Raw Data'!P27</f>
        <v>0</v>
      </c>
      <c r="F300" s="4">
        <f>N('Raw Data'!$E27)</f>
        <v>2</v>
      </c>
      <c r="G300" s="4" t="str">
        <f t="shared" si="4"/>
        <v>Leading</v>
      </c>
    </row>
    <row r="301" spans="1:7" x14ac:dyDescent="0.35">
      <c r="A301" s="4" t="s">
        <v>129</v>
      </c>
      <c r="B301" s="4" t="s">
        <v>125</v>
      </c>
      <c r="C301" s="4" t="s">
        <v>114</v>
      </c>
      <c r="D301" s="4">
        <v>12</v>
      </c>
      <c r="E301" s="4">
        <f>'Raw Data'!Q27</f>
        <v>0</v>
      </c>
      <c r="F301" s="4">
        <f>N('Raw Data'!$E27)</f>
        <v>2</v>
      </c>
      <c r="G301" s="4" t="str">
        <f t="shared" si="4"/>
        <v>Leading</v>
      </c>
    </row>
    <row r="302" spans="1:7" x14ac:dyDescent="0.35">
      <c r="A302" s="4" t="s">
        <v>129</v>
      </c>
      <c r="B302" s="4" t="s">
        <v>126</v>
      </c>
      <c r="C302" s="4" t="s">
        <v>103</v>
      </c>
      <c r="D302" s="4">
        <v>1</v>
      </c>
      <c r="E302" s="4">
        <f>'Raw Data'!F28</f>
        <v>0</v>
      </c>
      <c r="F302" s="4">
        <f>N('Raw Data'!$E28)</f>
        <v>4</v>
      </c>
      <c r="G302" s="4" t="str">
        <f t="shared" si="4"/>
        <v>Leading</v>
      </c>
    </row>
    <row r="303" spans="1:7" x14ac:dyDescent="0.35">
      <c r="A303" s="4" t="s">
        <v>129</v>
      </c>
      <c r="B303" s="4" t="s">
        <v>126</v>
      </c>
      <c r="C303" s="4" t="s">
        <v>104</v>
      </c>
      <c r="D303" s="4">
        <v>2</v>
      </c>
      <c r="E303" s="4">
        <f>'Raw Data'!G28</f>
        <v>2</v>
      </c>
      <c r="F303" s="4">
        <f>N('Raw Data'!$E28)</f>
        <v>4</v>
      </c>
      <c r="G303" s="4" t="str">
        <f t="shared" si="4"/>
        <v>Leading</v>
      </c>
    </row>
    <row r="304" spans="1:7" x14ac:dyDescent="0.35">
      <c r="A304" s="4" t="s">
        <v>129</v>
      </c>
      <c r="B304" s="4" t="s">
        <v>126</v>
      </c>
      <c r="C304" s="4" t="s">
        <v>105</v>
      </c>
      <c r="D304" s="4">
        <v>3</v>
      </c>
      <c r="E304" s="4">
        <f>'Raw Data'!H28</f>
        <v>1</v>
      </c>
      <c r="F304" s="4">
        <f>N('Raw Data'!$E28)</f>
        <v>4</v>
      </c>
      <c r="G304" s="4" t="str">
        <f t="shared" si="4"/>
        <v>Leading</v>
      </c>
    </row>
    <row r="305" spans="1:7" x14ac:dyDescent="0.35">
      <c r="A305" s="4" t="s">
        <v>129</v>
      </c>
      <c r="B305" s="4" t="s">
        <v>126</v>
      </c>
      <c r="C305" s="4" t="s">
        <v>106</v>
      </c>
      <c r="D305" s="4">
        <v>4</v>
      </c>
      <c r="E305" s="4">
        <f>'Raw Data'!I28</f>
        <v>3</v>
      </c>
      <c r="F305" s="4">
        <f>N('Raw Data'!$E28)</f>
        <v>4</v>
      </c>
      <c r="G305" s="4" t="str">
        <f t="shared" si="4"/>
        <v>Leading</v>
      </c>
    </row>
    <row r="306" spans="1:7" x14ac:dyDescent="0.35">
      <c r="A306" s="4" t="s">
        <v>129</v>
      </c>
      <c r="B306" s="4" t="s">
        <v>126</v>
      </c>
      <c r="C306" s="4" t="s">
        <v>107</v>
      </c>
      <c r="D306" s="4">
        <v>5</v>
      </c>
      <c r="E306" s="4">
        <f>'Raw Data'!J28</f>
        <v>3</v>
      </c>
      <c r="F306" s="4">
        <f>N('Raw Data'!$E28)</f>
        <v>4</v>
      </c>
      <c r="G306" s="4" t="str">
        <f t="shared" si="4"/>
        <v>Leading</v>
      </c>
    </row>
    <row r="307" spans="1:7" x14ac:dyDescent="0.35">
      <c r="A307" s="4" t="s">
        <v>129</v>
      </c>
      <c r="B307" s="4" t="s">
        <v>126</v>
      </c>
      <c r="C307" s="4" t="s">
        <v>108</v>
      </c>
      <c r="D307" s="4">
        <v>6</v>
      </c>
      <c r="E307" s="4">
        <f>'Raw Data'!K28</f>
        <v>4</v>
      </c>
      <c r="F307" s="4">
        <f>N('Raw Data'!$E28)</f>
        <v>4</v>
      </c>
      <c r="G307" s="4" t="str">
        <f t="shared" si="4"/>
        <v>Leading</v>
      </c>
    </row>
    <row r="308" spans="1:7" x14ac:dyDescent="0.35">
      <c r="A308" s="4" t="s">
        <v>129</v>
      </c>
      <c r="B308" s="4" t="s">
        <v>126</v>
      </c>
      <c r="C308" s="4" t="s">
        <v>109</v>
      </c>
      <c r="D308" s="4">
        <v>7</v>
      </c>
      <c r="E308" s="4">
        <f>'Raw Data'!L28</f>
        <v>0</v>
      </c>
      <c r="F308" s="4">
        <f>N('Raw Data'!$E28)</f>
        <v>4</v>
      </c>
      <c r="G308" s="4" t="str">
        <f t="shared" si="4"/>
        <v>Leading</v>
      </c>
    </row>
    <row r="309" spans="1:7" x14ac:dyDescent="0.35">
      <c r="A309" s="4" t="s">
        <v>129</v>
      </c>
      <c r="B309" s="4" t="s">
        <v>126</v>
      </c>
      <c r="C309" s="4" t="s">
        <v>110</v>
      </c>
      <c r="D309" s="4">
        <v>8</v>
      </c>
      <c r="E309" s="4">
        <f>'Raw Data'!M28</f>
        <v>0</v>
      </c>
      <c r="F309" s="4">
        <f>N('Raw Data'!$E28)</f>
        <v>4</v>
      </c>
      <c r="G309" s="4" t="str">
        <f t="shared" si="4"/>
        <v>Leading</v>
      </c>
    </row>
    <row r="310" spans="1:7" x14ac:dyDescent="0.35">
      <c r="A310" s="4" t="s">
        <v>129</v>
      </c>
      <c r="B310" s="4" t="s">
        <v>126</v>
      </c>
      <c r="C310" s="4" t="s">
        <v>111</v>
      </c>
      <c r="D310" s="4">
        <v>9</v>
      </c>
      <c r="E310" s="4">
        <f>'Raw Data'!N28</f>
        <v>0</v>
      </c>
      <c r="F310" s="4">
        <f>N('Raw Data'!$E28)</f>
        <v>4</v>
      </c>
      <c r="G310" s="4" t="str">
        <f t="shared" si="4"/>
        <v>Leading</v>
      </c>
    </row>
    <row r="311" spans="1:7" x14ac:dyDescent="0.35">
      <c r="A311" s="4" t="s">
        <v>129</v>
      </c>
      <c r="B311" s="4" t="s">
        <v>126</v>
      </c>
      <c r="C311" s="4" t="s">
        <v>112</v>
      </c>
      <c r="D311" s="4">
        <v>10</v>
      </c>
      <c r="E311" s="4">
        <f>'Raw Data'!O28</f>
        <v>0</v>
      </c>
      <c r="F311" s="4">
        <f>N('Raw Data'!$E28)</f>
        <v>4</v>
      </c>
      <c r="G311" s="4" t="str">
        <f t="shared" si="4"/>
        <v>Leading</v>
      </c>
    </row>
    <row r="312" spans="1:7" x14ac:dyDescent="0.35">
      <c r="A312" s="4" t="s">
        <v>129</v>
      </c>
      <c r="B312" s="4" t="s">
        <v>126</v>
      </c>
      <c r="C312" s="4" t="s">
        <v>113</v>
      </c>
      <c r="D312" s="4">
        <v>11</v>
      </c>
      <c r="E312" s="4">
        <f>'Raw Data'!P28</f>
        <v>0</v>
      </c>
      <c r="F312" s="4">
        <f>N('Raw Data'!$E28)</f>
        <v>4</v>
      </c>
      <c r="G312" s="4" t="str">
        <f t="shared" si="4"/>
        <v>Leading</v>
      </c>
    </row>
    <row r="313" spans="1:7" x14ac:dyDescent="0.35">
      <c r="A313" s="4" t="s">
        <v>129</v>
      </c>
      <c r="B313" s="4" t="s">
        <v>126</v>
      </c>
      <c r="C313" s="4" t="s">
        <v>114</v>
      </c>
      <c r="D313" s="4">
        <v>12</v>
      </c>
      <c r="E313" s="4">
        <f>'Raw Data'!Q28</f>
        <v>0</v>
      </c>
      <c r="F313" s="4">
        <f>N('Raw Data'!$E28)</f>
        <v>4</v>
      </c>
      <c r="G313" s="4" t="str">
        <f t="shared" si="4"/>
        <v>Leading</v>
      </c>
    </row>
    <row r="314" spans="1:7" x14ac:dyDescent="0.35">
      <c r="A314" s="4" t="s">
        <v>129</v>
      </c>
      <c r="B314" s="4" t="s">
        <v>127</v>
      </c>
      <c r="C314" s="4" t="s">
        <v>103</v>
      </c>
      <c r="D314" s="4">
        <v>1</v>
      </c>
      <c r="E314" s="4">
        <f>'Raw Data'!F29</f>
        <v>0</v>
      </c>
      <c r="F314" s="4">
        <f>N('Raw Data'!$E29)</f>
        <v>4</v>
      </c>
      <c r="G314" s="4" t="str">
        <f t="shared" si="4"/>
        <v>Leading</v>
      </c>
    </row>
    <row r="315" spans="1:7" x14ac:dyDescent="0.35">
      <c r="A315" s="4" t="s">
        <v>129</v>
      </c>
      <c r="B315" s="4" t="s">
        <v>127</v>
      </c>
      <c r="C315" s="4" t="s">
        <v>104</v>
      </c>
      <c r="D315" s="4">
        <v>2</v>
      </c>
      <c r="E315" s="4">
        <f>'Raw Data'!G29</f>
        <v>1</v>
      </c>
      <c r="F315" s="4">
        <f>N('Raw Data'!$E29)</f>
        <v>4</v>
      </c>
      <c r="G315" s="4" t="str">
        <f t="shared" si="4"/>
        <v>Leading</v>
      </c>
    </row>
    <row r="316" spans="1:7" x14ac:dyDescent="0.35">
      <c r="A316" s="4" t="s">
        <v>129</v>
      </c>
      <c r="B316" s="4" t="s">
        <v>127</v>
      </c>
      <c r="C316" s="4" t="s">
        <v>105</v>
      </c>
      <c r="D316" s="4">
        <v>3</v>
      </c>
      <c r="E316" s="4">
        <f>'Raw Data'!H29</f>
        <v>1</v>
      </c>
      <c r="F316" s="4">
        <f>N('Raw Data'!$E29)</f>
        <v>4</v>
      </c>
      <c r="G316" s="4" t="str">
        <f t="shared" si="4"/>
        <v>Leading</v>
      </c>
    </row>
    <row r="317" spans="1:7" x14ac:dyDescent="0.35">
      <c r="A317" s="4" t="s">
        <v>129</v>
      </c>
      <c r="B317" s="4" t="s">
        <v>127</v>
      </c>
      <c r="C317" s="4" t="s">
        <v>106</v>
      </c>
      <c r="D317" s="4">
        <v>4</v>
      </c>
      <c r="E317" s="4">
        <f>'Raw Data'!I29</f>
        <v>0</v>
      </c>
      <c r="F317" s="4">
        <f>N('Raw Data'!$E29)</f>
        <v>4</v>
      </c>
      <c r="G317" s="4" t="str">
        <f t="shared" si="4"/>
        <v>Leading</v>
      </c>
    </row>
    <row r="318" spans="1:7" x14ac:dyDescent="0.35">
      <c r="A318" s="4" t="s">
        <v>129</v>
      </c>
      <c r="B318" s="4" t="s">
        <v>127</v>
      </c>
      <c r="C318" s="4" t="s">
        <v>107</v>
      </c>
      <c r="D318" s="4">
        <v>5</v>
      </c>
      <c r="E318" s="4">
        <f>'Raw Data'!J29</f>
        <v>4</v>
      </c>
      <c r="F318" s="4">
        <f>N('Raw Data'!$E29)</f>
        <v>4</v>
      </c>
      <c r="G318" s="4" t="str">
        <f t="shared" si="4"/>
        <v>Leading</v>
      </c>
    </row>
    <row r="319" spans="1:7" x14ac:dyDescent="0.35">
      <c r="A319" s="4" t="s">
        <v>129</v>
      </c>
      <c r="B319" s="4" t="s">
        <v>127</v>
      </c>
      <c r="C319" s="4" t="s">
        <v>108</v>
      </c>
      <c r="D319" s="4">
        <v>6</v>
      </c>
      <c r="E319" s="4">
        <f>'Raw Data'!K29</f>
        <v>0</v>
      </c>
      <c r="F319" s="4">
        <f>N('Raw Data'!$E29)</f>
        <v>4</v>
      </c>
      <c r="G319" s="4" t="str">
        <f t="shared" si="4"/>
        <v>Leading</v>
      </c>
    </row>
    <row r="320" spans="1:7" x14ac:dyDescent="0.35">
      <c r="A320" s="4" t="s">
        <v>129</v>
      </c>
      <c r="B320" s="4" t="s">
        <v>127</v>
      </c>
      <c r="C320" s="4" t="s">
        <v>109</v>
      </c>
      <c r="D320" s="4">
        <v>7</v>
      </c>
      <c r="E320" s="4">
        <f>'Raw Data'!L29</f>
        <v>0</v>
      </c>
      <c r="F320" s="4">
        <f>N('Raw Data'!$E29)</f>
        <v>4</v>
      </c>
      <c r="G320" s="4" t="str">
        <f t="shared" si="4"/>
        <v>Leading</v>
      </c>
    </row>
    <row r="321" spans="1:7" x14ac:dyDescent="0.35">
      <c r="A321" s="4" t="s">
        <v>129</v>
      </c>
      <c r="B321" s="4" t="s">
        <v>127</v>
      </c>
      <c r="C321" s="4" t="s">
        <v>110</v>
      </c>
      <c r="D321" s="4">
        <v>8</v>
      </c>
      <c r="E321" s="4">
        <f>'Raw Data'!M29</f>
        <v>0</v>
      </c>
      <c r="F321" s="4">
        <f>N('Raw Data'!$E29)</f>
        <v>4</v>
      </c>
      <c r="G321" s="4" t="str">
        <f t="shared" si="4"/>
        <v>Leading</v>
      </c>
    </row>
    <row r="322" spans="1:7" x14ac:dyDescent="0.35">
      <c r="A322" s="4" t="s">
        <v>129</v>
      </c>
      <c r="B322" s="4" t="s">
        <v>127</v>
      </c>
      <c r="C322" s="4" t="s">
        <v>111</v>
      </c>
      <c r="D322" s="4">
        <v>9</v>
      </c>
      <c r="E322" s="4">
        <f>'Raw Data'!N29</f>
        <v>0</v>
      </c>
      <c r="F322" s="4">
        <f>N('Raw Data'!$E29)</f>
        <v>4</v>
      </c>
      <c r="G322" s="4" t="str">
        <f t="shared" ref="G322:G385" si="5">IF(COUNTIF($I$2:$I$8,$B322),"Leading",IF(COUNTIF($K$2:$K$8,$B322),"Lagging",""))</f>
        <v>Leading</v>
      </c>
    </row>
    <row r="323" spans="1:7" x14ac:dyDescent="0.35">
      <c r="A323" s="4" t="s">
        <v>129</v>
      </c>
      <c r="B323" s="4" t="s">
        <v>127</v>
      </c>
      <c r="C323" s="4" t="s">
        <v>112</v>
      </c>
      <c r="D323" s="4">
        <v>10</v>
      </c>
      <c r="E323" s="4">
        <f>'Raw Data'!O29</f>
        <v>0</v>
      </c>
      <c r="F323" s="4">
        <f>N('Raw Data'!$E29)</f>
        <v>4</v>
      </c>
      <c r="G323" s="4" t="str">
        <f t="shared" si="5"/>
        <v>Leading</v>
      </c>
    </row>
    <row r="324" spans="1:7" x14ac:dyDescent="0.35">
      <c r="A324" s="4" t="s">
        <v>129</v>
      </c>
      <c r="B324" s="4" t="s">
        <v>127</v>
      </c>
      <c r="C324" s="4" t="s">
        <v>113</v>
      </c>
      <c r="D324" s="4">
        <v>11</v>
      </c>
      <c r="E324" s="4">
        <f>'Raw Data'!P29</f>
        <v>0</v>
      </c>
      <c r="F324" s="4">
        <f>N('Raw Data'!$E29)</f>
        <v>4</v>
      </c>
      <c r="G324" s="4" t="str">
        <f t="shared" si="5"/>
        <v>Leading</v>
      </c>
    </row>
    <row r="325" spans="1:7" x14ac:dyDescent="0.35">
      <c r="A325" s="4" t="s">
        <v>129</v>
      </c>
      <c r="B325" s="4" t="s">
        <v>127</v>
      </c>
      <c r="C325" s="4" t="s">
        <v>114</v>
      </c>
      <c r="D325" s="4">
        <v>12</v>
      </c>
      <c r="E325" s="4">
        <f>'Raw Data'!Q29</f>
        <v>0</v>
      </c>
      <c r="F325" s="4">
        <f>N('Raw Data'!$E29)</f>
        <v>4</v>
      </c>
      <c r="G325" s="4" t="str">
        <f t="shared" si="5"/>
        <v>Leading</v>
      </c>
    </row>
    <row r="326" spans="1:7" x14ac:dyDescent="0.35">
      <c r="A326" s="4" t="s">
        <v>129</v>
      </c>
      <c r="B326" s="4" t="s">
        <v>128</v>
      </c>
      <c r="C326" s="4" t="s">
        <v>103</v>
      </c>
      <c r="D326" s="4">
        <v>1</v>
      </c>
      <c r="E326" s="4">
        <f>'Raw Data'!F30</f>
        <v>0</v>
      </c>
      <c r="F326" s="4">
        <f>N('Raw Data'!$E30)</f>
        <v>1</v>
      </c>
      <c r="G326" s="4" t="str">
        <f t="shared" si="5"/>
        <v>Leading</v>
      </c>
    </row>
    <row r="327" spans="1:7" x14ac:dyDescent="0.35">
      <c r="A327" s="4" t="s">
        <v>129</v>
      </c>
      <c r="B327" s="4" t="s">
        <v>128</v>
      </c>
      <c r="C327" s="4" t="s">
        <v>104</v>
      </c>
      <c r="D327" s="4">
        <v>2</v>
      </c>
      <c r="E327" s="4">
        <f>'Raw Data'!G30</f>
        <v>0</v>
      </c>
      <c r="F327" s="4">
        <f>N('Raw Data'!$E30)</f>
        <v>1</v>
      </c>
      <c r="G327" s="4" t="str">
        <f t="shared" si="5"/>
        <v>Leading</v>
      </c>
    </row>
    <row r="328" spans="1:7" x14ac:dyDescent="0.35">
      <c r="A328" s="4" t="s">
        <v>129</v>
      </c>
      <c r="B328" s="4" t="s">
        <v>128</v>
      </c>
      <c r="C328" s="4" t="s">
        <v>105</v>
      </c>
      <c r="D328" s="4">
        <v>3</v>
      </c>
      <c r="E328" s="4">
        <f>'Raw Data'!H30</f>
        <v>1</v>
      </c>
      <c r="F328" s="4">
        <f>N('Raw Data'!$E30)</f>
        <v>1</v>
      </c>
      <c r="G328" s="4" t="str">
        <f t="shared" si="5"/>
        <v>Leading</v>
      </c>
    </row>
    <row r="329" spans="1:7" x14ac:dyDescent="0.35">
      <c r="A329" s="4" t="s">
        <v>129</v>
      </c>
      <c r="B329" s="4" t="s">
        <v>128</v>
      </c>
      <c r="C329" s="4" t="s">
        <v>106</v>
      </c>
      <c r="D329" s="4">
        <v>4</v>
      </c>
      <c r="E329" s="4">
        <f>'Raw Data'!I30</f>
        <v>1</v>
      </c>
      <c r="F329" s="4">
        <f>N('Raw Data'!$E30)</f>
        <v>1</v>
      </c>
      <c r="G329" s="4" t="str">
        <f t="shared" si="5"/>
        <v>Leading</v>
      </c>
    </row>
    <row r="330" spans="1:7" x14ac:dyDescent="0.35">
      <c r="A330" s="4" t="s">
        <v>129</v>
      </c>
      <c r="B330" s="4" t="s">
        <v>128</v>
      </c>
      <c r="C330" s="4" t="s">
        <v>107</v>
      </c>
      <c r="D330" s="4">
        <v>5</v>
      </c>
      <c r="E330" s="4">
        <f>'Raw Data'!J30</f>
        <v>1</v>
      </c>
      <c r="F330" s="4">
        <f>N('Raw Data'!$E30)</f>
        <v>1</v>
      </c>
      <c r="G330" s="4" t="str">
        <f t="shared" si="5"/>
        <v>Leading</v>
      </c>
    </row>
    <row r="331" spans="1:7" x14ac:dyDescent="0.35">
      <c r="A331" s="4" t="s">
        <v>129</v>
      </c>
      <c r="B331" s="4" t="s">
        <v>128</v>
      </c>
      <c r="C331" s="4" t="s">
        <v>108</v>
      </c>
      <c r="D331" s="4">
        <v>6</v>
      </c>
      <c r="E331" s="4">
        <f>'Raw Data'!K30</f>
        <v>0</v>
      </c>
      <c r="F331" s="4">
        <f>N('Raw Data'!$E30)</f>
        <v>1</v>
      </c>
      <c r="G331" s="4" t="str">
        <f t="shared" si="5"/>
        <v>Leading</v>
      </c>
    </row>
    <row r="332" spans="1:7" x14ac:dyDescent="0.35">
      <c r="A332" s="4" t="s">
        <v>129</v>
      </c>
      <c r="B332" s="4" t="s">
        <v>128</v>
      </c>
      <c r="C332" s="4" t="s">
        <v>109</v>
      </c>
      <c r="D332" s="4">
        <v>7</v>
      </c>
      <c r="E332" s="4">
        <f>'Raw Data'!L30</f>
        <v>0</v>
      </c>
      <c r="F332" s="4">
        <f>N('Raw Data'!$E30)</f>
        <v>1</v>
      </c>
      <c r="G332" s="4" t="str">
        <f t="shared" si="5"/>
        <v>Leading</v>
      </c>
    </row>
    <row r="333" spans="1:7" x14ac:dyDescent="0.35">
      <c r="A333" s="4" t="s">
        <v>129</v>
      </c>
      <c r="B333" s="4" t="s">
        <v>128</v>
      </c>
      <c r="C333" s="4" t="s">
        <v>110</v>
      </c>
      <c r="D333" s="4">
        <v>8</v>
      </c>
      <c r="E333" s="4">
        <f>'Raw Data'!M30</f>
        <v>0</v>
      </c>
      <c r="F333" s="4">
        <f>N('Raw Data'!$E30)</f>
        <v>1</v>
      </c>
      <c r="G333" s="4" t="str">
        <f t="shared" si="5"/>
        <v>Leading</v>
      </c>
    </row>
    <row r="334" spans="1:7" x14ac:dyDescent="0.35">
      <c r="A334" s="4" t="s">
        <v>129</v>
      </c>
      <c r="B334" s="4" t="s">
        <v>128</v>
      </c>
      <c r="C334" s="4" t="s">
        <v>111</v>
      </c>
      <c r="D334" s="4">
        <v>9</v>
      </c>
      <c r="E334" s="4">
        <f>'Raw Data'!N30</f>
        <v>0</v>
      </c>
      <c r="F334" s="4">
        <f>N('Raw Data'!$E30)</f>
        <v>1</v>
      </c>
      <c r="G334" s="4" t="str">
        <f t="shared" si="5"/>
        <v>Leading</v>
      </c>
    </row>
    <row r="335" spans="1:7" x14ac:dyDescent="0.35">
      <c r="A335" s="4" t="s">
        <v>129</v>
      </c>
      <c r="B335" s="4" t="s">
        <v>128</v>
      </c>
      <c r="C335" s="4" t="s">
        <v>112</v>
      </c>
      <c r="D335" s="4">
        <v>10</v>
      </c>
      <c r="E335" s="4">
        <f>'Raw Data'!O30</f>
        <v>0</v>
      </c>
      <c r="F335" s="4">
        <f>N('Raw Data'!$E30)</f>
        <v>1</v>
      </c>
      <c r="G335" s="4" t="str">
        <f t="shared" si="5"/>
        <v>Leading</v>
      </c>
    </row>
    <row r="336" spans="1:7" x14ac:dyDescent="0.35">
      <c r="A336" s="4" t="s">
        <v>129</v>
      </c>
      <c r="B336" s="4" t="s">
        <v>128</v>
      </c>
      <c r="C336" s="4" t="s">
        <v>113</v>
      </c>
      <c r="D336" s="4">
        <v>11</v>
      </c>
      <c r="E336" s="4">
        <f>'Raw Data'!P30</f>
        <v>0</v>
      </c>
      <c r="F336" s="4">
        <f>N('Raw Data'!$E30)</f>
        <v>1</v>
      </c>
      <c r="G336" s="4" t="str">
        <f t="shared" si="5"/>
        <v>Leading</v>
      </c>
    </row>
    <row r="337" spans="1:7" x14ac:dyDescent="0.35">
      <c r="A337" s="4" t="s">
        <v>129</v>
      </c>
      <c r="B337" s="4" t="s">
        <v>128</v>
      </c>
      <c r="C337" s="4" t="s">
        <v>114</v>
      </c>
      <c r="D337" s="4">
        <v>12</v>
      </c>
      <c r="E337" s="4">
        <f>'Raw Data'!Q30</f>
        <v>0</v>
      </c>
      <c r="F337" s="4">
        <f>N('Raw Data'!$E30)</f>
        <v>1</v>
      </c>
      <c r="G337" s="4" t="str">
        <f t="shared" si="5"/>
        <v>Leading</v>
      </c>
    </row>
    <row r="338" spans="1:7" x14ac:dyDescent="0.35">
      <c r="A338" s="4" t="s">
        <v>131</v>
      </c>
      <c r="B338" s="4" t="s">
        <v>117</v>
      </c>
      <c r="C338" s="4" t="s">
        <v>103</v>
      </c>
      <c r="D338" s="4">
        <v>1</v>
      </c>
      <c r="E338" s="4">
        <f>'Raw Data'!F31</f>
        <v>0</v>
      </c>
      <c r="F338" s="4">
        <f>N('Raw Data'!$E31)</f>
        <v>2</v>
      </c>
      <c r="G338" s="4" t="str">
        <f t="shared" si="5"/>
        <v>Leading</v>
      </c>
    </row>
    <row r="339" spans="1:7" x14ac:dyDescent="0.35">
      <c r="A339" s="4" t="s">
        <v>131</v>
      </c>
      <c r="B339" s="4" t="s">
        <v>117</v>
      </c>
      <c r="C339" s="4" t="s">
        <v>104</v>
      </c>
      <c r="D339" s="4">
        <v>2</v>
      </c>
      <c r="E339" s="4">
        <f>'Raw Data'!G31</f>
        <v>1</v>
      </c>
      <c r="F339" s="4">
        <f>N('Raw Data'!$E31)</f>
        <v>2</v>
      </c>
      <c r="G339" s="4" t="str">
        <f t="shared" si="5"/>
        <v>Leading</v>
      </c>
    </row>
    <row r="340" spans="1:7" x14ac:dyDescent="0.35">
      <c r="A340" s="4" t="s">
        <v>131</v>
      </c>
      <c r="B340" s="4" t="s">
        <v>117</v>
      </c>
      <c r="C340" s="4" t="s">
        <v>105</v>
      </c>
      <c r="D340" s="4">
        <v>3</v>
      </c>
      <c r="E340" s="4">
        <f>'Raw Data'!H31</f>
        <v>1</v>
      </c>
      <c r="F340" s="4">
        <f>N('Raw Data'!$E31)</f>
        <v>2</v>
      </c>
      <c r="G340" s="4" t="str">
        <f t="shared" si="5"/>
        <v>Leading</v>
      </c>
    </row>
    <row r="341" spans="1:7" x14ac:dyDescent="0.35">
      <c r="A341" s="4" t="s">
        <v>131</v>
      </c>
      <c r="B341" s="4" t="s">
        <v>117</v>
      </c>
      <c r="C341" s="4" t="s">
        <v>106</v>
      </c>
      <c r="D341" s="4">
        <v>4</v>
      </c>
      <c r="E341" s="4">
        <f>'Raw Data'!I31</f>
        <v>2</v>
      </c>
      <c r="F341" s="4">
        <f>N('Raw Data'!$E31)</f>
        <v>2</v>
      </c>
      <c r="G341" s="4" t="str">
        <f t="shared" si="5"/>
        <v>Leading</v>
      </c>
    </row>
    <row r="342" spans="1:7" x14ac:dyDescent="0.35">
      <c r="A342" s="4" t="s">
        <v>131</v>
      </c>
      <c r="B342" s="4" t="s">
        <v>117</v>
      </c>
      <c r="C342" s="4" t="s">
        <v>107</v>
      </c>
      <c r="D342" s="4">
        <v>5</v>
      </c>
      <c r="E342" s="4">
        <f>'Raw Data'!J31</f>
        <v>1</v>
      </c>
      <c r="F342" s="4">
        <f>N('Raw Data'!$E31)</f>
        <v>2</v>
      </c>
      <c r="G342" s="4" t="str">
        <f t="shared" si="5"/>
        <v>Leading</v>
      </c>
    </row>
    <row r="343" spans="1:7" x14ac:dyDescent="0.35">
      <c r="A343" s="4" t="s">
        <v>131</v>
      </c>
      <c r="B343" s="4" t="s">
        <v>117</v>
      </c>
      <c r="C343" s="4" t="s">
        <v>108</v>
      </c>
      <c r="D343" s="4">
        <v>6</v>
      </c>
      <c r="E343" s="4">
        <f>'Raw Data'!K31</f>
        <v>0</v>
      </c>
      <c r="F343" s="4">
        <f>N('Raw Data'!$E31)</f>
        <v>2</v>
      </c>
      <c r="G343" s="4" t="str">
        <f t="shared" si="5"/>
        <v>Leading</v>
      </c>
    </row>
    <row r="344" spans="1:7" x14ac:dyDescent="0.35">
      <c r="A344" s="4" t="s">
        <v>131</v>
      </c>
      <c r="B344" s="4" t="s">
        <v>117</v>
      </c>
      <c r="C344" s="4" t="s">
        <v>109</v>
      </c>
      <c r="D344" s="4">
        <v>7</v>
      </c>
      <c r="E344" s="4">
        <f>'Raw Data'!L31</f>
        <v>0</v>
      </c>
      <c r="F344" s="4">
        <f>N('Raw Data'!$E31)</f>
        <v>2</v>
      </c>
      <c r="G344" s="4" t="str">
        <f t="shared" si="5"/>
        <v>Leading</v>
      </c>
    </row>
    <row r="345" spans="1:7" x14ac:dyDescent="0.35">
      <c r="A345" s="4" t="s">
        <v>131</v>
      </c>
      <c r="B345" s="4" t="s">
        <v>117</v>
      </c>
      <c r="C345" s="4" t="s">
        <v>110</v>
      </c>
      <c r="D345" s="4">
        <v>8</v>
      </c>
      <c r="E345" s="4">
        <f>'Raw Data'!M31</f>
        <v>0</v>
      </c>
      <c r="F345" s="4">
        <f>N('Raw Data'!$E31)</f>
        <v>2</v>
      </c>
      <c r="G345" s="4" t="str">
        <f t="shared" si="5"/>
        <v>Leading</v>
      </c>
    </row>
    <row r="346" spans="1:7" x14ac:dyDescent="0.35">
      <c r="A346" s="4" t="s">
        <v>131</v>
      </c>
      <c r="B346" s="4" t="s">
        <v>117</v>
      </c>
      <c r="C346" s="4" t="s">
        <v>111</v>
      </c>
      <c r="D346" s="4">
        <v>9</v>
      </c>
      <c r="E346" s="4">
        <f>'Raw Data'!N31</f>
        <v>0</v>
      </c>
      <c r="F346" s="4">
        <f>N('Raw Data'!$E31)</f>
        <v>2</v>
      </c>
      <c r="G346" s="4" t="str">
        <f t="shared" si="5"/>
        <v>Leading</v>
      </c>
    </row>
    <row r="347" spans="1:7" x14ac:dyDescent="0.35">
      <c r="A347" s="4" t="s">
        <v>131</v>
      </c>
      <c r="B347" s="4" t="s">
        <v>117</v>
      </c>
      <c r="C347" s="4" t="s">
        <v>112</v>
      </c>
      <c r="D347" s="4">
        <v>10</v>
      </c>
      <c r="E347" s="4">
        <f>'Raw Data'!O31</f>
        <v>0</v>
      </c>
      <c r="F347" s="4">
        <f>N('Raw Data'!$E31)</f>
        <v>2</v>
      </c>
      <c r="G347" s="4" t="str">
        <f t="shared" si="5"/>
        <v>Leading</v>
      </c>
    </row>
    <row r="348" spans="1:7" x14ac:dyDescent="0.35">
      <c r="A348" s="4" t="s">
        <v>131</v>
      </c>
      <c r="B348" s="4" t="s">
        <v>117</v>
      </c>
      <c r="C348" s="4" t="s">
        <v>113</v>
      </c>
      <c r="D348" s="4">
        <v>11</v>
      </c>
      <c r="E348" s="4">
        <f>'Raw Data'!P31</f>
        <v>0</v>
      </c>
      <c r="F348" s="4">
        <f>N('Raw Data'!$E31)</f>
        <v>2</v>
      </c>
      <c r="G348" s="4" t="str">
        <f t="shared" si="5"/>
        <v>Leading</v>
      </c>
    </row>
    <row r="349" spans="1:7" x14ac:dyDescent="0.35">
      <c r="A349" s="4" t="s">
        <v>131</v>
      </c>
      <c r="B349" s="4" t="s">
        <v>117</v>
      </c>
      <c r="C349" s="4" t="s">
        <v>114</v>
      </c>
      <c r="D349" s="4">
        <v>12</v>
      </c>
      <c r="E349" s="4">
        <f>'Raw Data'!Q31</f>
        <v>0</v>
      </c>
      <c r="F349" s="4">
        <f>N('Raw Data'!$E31)</f>
        <v>2</v>
      </c>
      <c r="G349" s="4" t="str">
        <f t="shared" si="5"/>
        <v>Leading</v>
      </c>
    </row>
    <row r="350" spans="1:7" x14ac:dyDescent="0.35">
      <c r="A350" s="4" t="s">
        <v>131</v>
      </c>
      <c r="B350" s="4" t="s">
        <v>118</v>
      </c>
      <c r="C350" s="4" t="s">
        <v>103</v>
      </c>
      <c r="D350" s="4">
        <v>1</v>
      </c>
      <c r="E350" s="4">
        <f>'Raw Data'!F32</f>
        <v>0</v>
      </c>
      <c r="F350" s="4">
        <f>N('Raw Data'!$E32)</f>
        <v>0</v>
      </c>
      <c r="G350" s="4" t="str">
        <f t="shared" si="5"/>
        <v>Leading</v>
      </c>
    </row>
    <row r="351" spans="1:7" x14ac:dyDescent="0.35">
      <c r="A351" s="4" t="s">
        <v>131</v>
      </c>
      <c r="B351" s="4" t="s">
        <v>118</v>
      </c>
      <c r="C351" s="4" t="s">
        <v>104</v>
      </c>
      <c r="D351" s="4">
        <v>2</v>
      </c>
      <c r="E351" s="4">
        <f>'Raw Data'!G32</f>
        <v>1</v>
      </c>
      <c r="F351" s="4">
        <f>N('Raw Data'!$E32)</f>
        <v>0</v>
      </c>
      <c r="G351" s="4" t="str">
        <f t="shared" si="5"/>
        <v>Leading</v>
      </c>
    </row>
    <row r="352" spans="1:7" x14ac:dyDescent="0.35">
      <c r="A352" s="4" t="s">
        <v>131</v>
      </c>
      <c r="B352" s="4" t="s">
        <v>118</v>
      </c>
      <c r="C352" s="4" t="s">
        <v>105</v>
      </c>
      <c r="D352" s="4">
        <v>3</v>
      </c>
      <c r="E352" s="4">
        <f>'Raw Data'!H32</f>
        <v>0</v>
      </c>
      <c r="F352" s="4">
        <f>N('Raw Data'!$E32)</f>
        <v>0</v>
      </c>
      <c r="G352" s="4" t="str">
        <f t="shared" si="5"/>
        <v>Leading</v>
      </c>
    </row>
    <row r="353" spans="1:7" x14ac:dyDescent="0.35">
      <c r="A353" s="4" t="s">
        <v>131</v>
      </c>
      <c r="B353" s="4" t="s">
        <v>118</v>
      </c>
      <c r="C353" s="4" t="s">
        <v>106</v>
      </c>
      <c r="D353" s="4">
        <v>4</v>
      </c>
      <c r="E353" s="4">
        <f>'Raw Data'!I32</f>
        <v>4</v>
      </c>
      <c r="F353" s="4">
        <f>N('Raw Data'!$E32)</f>
        <v>0</v>
      </c>
      <c r="G353" s="4" t="str">
        <f t="shared" si="5"/>
        <v>Leading</v>
      </c>
    </row>
    <row r="354" spans="1:7" x14ac:dyDescent="0.35">
      <c r="A354" s="4" t="s">
        <v>131</v>
      </c>
      <c r="B354" s="4" t="s">
        <v>118</v>
      </c>
      <c r="C354" s="4" t="s">
        <v>107</v>
      </c>
      <c r="D354" s="4">
        <v>5</v>
      </c>
      <c r="E354" s="4">
        <f>'Raw Data'!J32</f>
        <v>0</v>
      </c>
      <c r="F354" s="4">
        <f>N('Raw Data'!$E32)</f>
        <v>0</v>
      </c>
      <c r="G354" s="4" t="str">
        <f t="shared" si="5"/>
        <v>Leading</v>
      </c>
    </row>
    <row r="355" spans="1:7" x14ac:dyDescent="0.35">
      <c r="A355" s="4" t="s">
        <v>131</v>
      </c>
      <c r="B355" s="4" t="s">
        <v>118</v>
      </c>
      <c r="C355" s="4" t="s">
        <v>108</v>
      </c>
      <c r="D355" s="4">
        <v>6</v>
      </c>
      <c r="E355" s="4">
        <f>'Raw Data'!K32</f>
        <v>3</v>
      </c>
      <c r="F355" s="4">
        <f>N('Raw Data'!$E32)</f>
        <v>0</v>
      </c>
      <c r="G355" s="4" t="str">
        <f t="shared" si="5"/>
        <v>Leading</v>
      </c>
    </row>
    <row r="356" spans="1:7" x14ac:dyDescent="0.35">
      <c r="A356" s="4" t="s">
        <v>131</v>
      </c>
      <c r="B356" s="4" t="s">
        <v>118</v>
      </c>
      <c r="C356" s="4" t="s">
        <v>109</v>
      </c>
      <c r="D356" s="4">
        <v>7</v>
      </c>
      <c r="E356" s="4">
        <f>'Raw Data'!L32</f>
        <v>0</v>
      </c>
      <c r="F356" s="4">
        <f>N('Raw Data'!$E32)</f>
        <v>0</v>
      </c>
      <c r="G356" s="4" t="str">
        <f t="shared" si="5"/>
        <v>Leading</v>
      </c>
    </row>
    <row r="357" spans="1:7" x14ac:dyDescent="0.35">
      <c r="A357" s="4" t="s">
        <v>131</v>
      </c>
      <c r="B357" s="4" t="s">
        <v>118</v>
      </c>
      <c r="C357" s="4" t="s">
        <v>110</v>
      </c>
      <c r="D357" s="4">
        <v>8</v>
      </c>
      <c r="E357" s="4">
        <f>'Raw Data'!M32</f>
        <v>0</v>
      </c>
      <c r="F357" s="4">
        <f>N('Raw Data'!$E32)</f>
        <v>0</v>
      </c>
      <c r="G357" s="4" t="str">
        <f t="shared" si="5"/>
        <v>Leading</v>
      </c>
    </row>
    <row r="358" spans="1:7" x14ac:dyDescent="0.35">
      <c r="A358" s="4" t="s">
        <v>131</v>
      </c>
      <c r="B358" s="4" t="s">
        <v>118</v>
      </c>
      <c r="C358" s="4" t="s">
        <v>111</v>
      </c>
      <c r="D358" s="4">
        <v>9</v>
      </c>
      <c r="E358" s="4">
        <f>'Raw Data'!N32</f>
        <v>0</v>
      </c>
      <c r="F358" s="4">
        <f>N('Raw Data'!$E32)</f>
        <v>0</v>
      </c>
      <c r="G358" s="4" t="str">
        <f t="shared" si="5"/>
        <v>Leading</v>
      </c>
    </row>
    <row r="359" spans="1:7" x14ac:dyDescent="0.35">
      <c r="A359" s="4" t="s">
        <v>131</v>
      </c>
      <c r="B359" s="4" t="s">
        <v>118</v>
      </c>
      <c r="C359" s="4" t="s">
        <v>112</v>
      </c>
      <c r="D359" s="4">
        <v>10</v>
      </c>
      <c r="E359" s="4">
        <f>'Raw Data'!O32</f>
        <v>0</v>
      </c>
      <c r="F359" s="4">
        <f>N('Raw Data'!$E32)</f>
        <v>0</v>
      </c>
      <c r="G359" s="4" t="str">
        <f t="shared" si="5"/>
        <v>Leading</v>
      </c>
    </row>
    <row r="360" spans="1:7" x14ac:dyDescent="0.35">
      <c r="A360" s="4" t="s">
        <v>131</v>
      </c>
      <c r="B360" s="4" t="s">
        <v>118</v>
      </c>
      <c r="C360" s="4" t="s">
        <v>113</v>
      </c>
      <c r="D360" s="4">
        <v>11</v>
      </c>
      <c r="E360" s="4">
        <f>'Raw Data'!P32</f>
        <v>0</v>
      </c>
      <c r="F360" s="4">
        <f>N('Raw Data'!$E32)</f>
        <v>0</v>
      </c>
      <c r="G360" s="4" t="str">
        <f t="shared" si="5"/>
        <v>Leading</v>
      </c>
    </row>
    <row r="361" spans="1:7" x14ac:dyDescent="0.35">
      <c r="A361" s="4" t="s">
        <v>131</v>
      </c>
      <c r="B361" s="4" t="s">
        <v>118</v>
      </c>
      <c r="C361" s="4" t="s">
        <v>114</v>
      </c>
      <c r="D361" s="4">
        <v>12</v>
      </c>
      <c r="E361" s="4">
        <f>'Raw Data'!Q32</f>
        <v>0</v>
      </c>
      <c r="F361" s="4">
        <f>N('Raw Data'!$E32)</f>
        <v>0</v>
      </c>
      <c r="G361" s="4" t="str">
        <f t="shared" si="5"/>
        <v>Leading</v>
      </c>
    </row>
    <row r="362" spans="1:7" x14ac:dyDescent="0.35">
      <c r="A362" s="4" t="s">
        <v>131</v>
      </c>
      <c r="B362" s="4" t="s">
        <v>119</v>
      </c>
      <c r="C362" s="4" t="s">
        <v>103</v>
      </c>
      <c r="D362" s="4">
        <v>1</v>
      </c>
      <c r="E362" s="4">
        <f>'Raw Data'!F33</f>
        <v>0</v>
      </c>
      <c r="F362" s="4">
        <f>N('Raw Data'!$E33)</f>
        <v>0</v>
      </c>
      <c r="G362" s="4" t="str">
        <f t="shared" si="5"/>
        <v>Leading</v>
      </c>
    </row>
    <row r="363" spans="1:7" x14ac:dyDescent="0.35">
      <c r="A363" s="4" t="s">
        <v>131</v>
      </c>
      <c r="B363" s="4" t="s">
        <v>119</v>
      </c>
      <c r="C363" s="4" t="s">
        <v>104</v>
      </c>
      <c r="D363" s="4">
        <v>2</v>
      </c>
      <c r="E363" s="4">
        <f>'Raw Data'!G33</f>
        <v>0</v>
      </c>
      <c r="F363" s="4">
        <f>N('Raw Data'!$E33)</f>
        <v>0</v>
      </c>
      <c r="G363" s="4" t="str">
        <f t="shared" si="5"/>
        <v>Leading</v>
      </c>
    </row>
    <row r="364" spans="1:7" x14ac:dyDescent="0.35">
      <c r="A364" s="4" t="s">
        <v>131</v>
      </c>
      <c r="B364" s="4" t="s">
        <v>119</v>
      </c>
      <c r="C364" s="4" t="s">
        <v>105</v>
      </c>
      <c r="D364" s="4">
        <v>3</v>
      </c>
      <c r="E364" s="4">
        <f>'Raw Data'!H33</f>
        <v>0</v>
      </c>
      <c r="F364" s="4">
        <f>N('Raw Data'!$E33)</f>
        <v>0</v>
      </c>
      <c r="G364" s="4" t="str">
        <f t="shared" si="5"/>
        <v>Leading</v>
      </c>
    </row>
    <row r="365" spans="1:7" x14ac:dyDescent="0.35">
      <c r="A365" s="4" t="s">
        <v>131</v>
      </c>
      <c r="B365" s="4" t="s">
        <v>119</v>
      </c>
      <c r="C365" s="4" t="s">
        <v>106</v>
      </c>
      <c r="D365" s="4">
        <v>4</v>
      </c>
      <c r="E365" s="4">
        <f>'Raw Data'!I33</f>
        <v>0</v>
      </c>
      <c r="F365" s="4">
        <f>N('Raw Data'!$E33)</f>
        <v>0</v>
      </c>
      <c r="G365" s="4" t="str">
        <f t="shared" si="5"/>
        <v>Leading</v>
      </c>
    </row>
    <row r="366" spans="1:7" x14ac:dyDescent="0.35">
      <c r="A366" s="4" t="s">
        <v>131</v>
      </c>
      <c r="B366" s="4" t="s">
        <v>119</v>
      </c>
      <c r="C366" s="4" t="s">
        <v>107</v>
      </c>
      <c r="D366" s="4">
        <v>5</v>
      </c>
      <c r="E366" s="4">
        <f>'Raw Data'!J33</f>
        <v>0</v>
      </c>
      <c r="F366" s="4">
        <f>N('Raw Data'!$E33)</f>
        <v>0</v>
      </c>
      <c r="G366" s="4" t="str">
        <f t="shared" si="5"/>
        <v>Leading</v>
      </c>
    </row>
    <row r="367" spans="1:7" x14ac:dyDescent="0.35">
      <c r="A367" s="4" t="s">
        <v>131</v>
      </c>
      <c r="B367" s="4" t="s">
        <v>119</v>
      </c>
      <c r="C367" s="4" t="s">
        <v>108</v>
      </c>
      <c r="D367" s="4">
        <v>6</v>
      </c>
      <c r="E367" s="4">
        <f>'Raw Data'!K33</f>
        <v>0</v>
      </c>
      <c r="F367" s="4">
        <f>N('Raw Data'!$E33)</f>
        <v>0</v>
      </c>
      <c r="G367" s="4" t="str">
        <f t="shared" si="5"/>
        <v>Leading</v>
      </c>
    </row>
    <row r="368" spans="1:7" x14ac:dyDescent="0.35">
      <c r="A368" s="4" t="s">
        <v>131</v>
      </c>
      <c r="B368" s="4" t="s">
        <v>119</v>
      </c>
      <c r="C368" s="4" t="s">
        <v>109</v>
      </c>
      <c r="D368" s="4">
        <v>7</v>
      </c>
      <c r="E368" s="4">
        <f>'Raw Data'!L33</f>
        <v>0</v>
      </c>
      <c r="F368" s="4">
        <f>N('Raw Data'!$E33)</f>
        <v>0</v>
      </c>
      <c r="G368" s="4" t="str">
        <f t="shared" si="5"/>
        <v>Leading</v>
      </c>
    </row>
    <row r="369" spans="1:7" x14ac:dyDescent="0.35">
      <c r="A369" s="4" t="s">
        <v>131</v>
      </c>
      <c r="B369" s="4" t="s">
        <v>119</v>
      </c>
      <c r="C369" s="4" t="s">
        <v>110</v>
      </c>
      <c r="D369" s="4">
        <v>8</v>
      </c>
      <c r="E369" s="4">
        <f>'Raw Data'!M33</f>
        <v>0</v>
      </c>
      <c r="F369" s="4">
        <f>N('Raw Data'!$E33)</f>
        <v>0</v>
      </c>
      <c r="G369" s="4" t="str">
        <f t="shared" si="5"/>
        <v>Leading</v>
      </c>
    </row>
    <row r="370" spans="1:7" x14ac:dyDescent="0.35">
      <c r="A370" s="4" t="s">
        <v>131</v>
      </c>
      <c r="B370" s="4" t="s">
        <v>119</v>
      </c>
      <c r="C370" s="4" t="s">
        <v>111</v>
      </c>
      <c r="D370" s="4">
        <v>9</v>
      </c>
      <c r="E370" s="4">
        <f>'Raw Data'!N33</f>
        <v>0</v>
      </c>
      <c r="F370" s="4">
        <f>N('Raw Data'!$E33)</f>
        <v>0</v>
      </c>
      <c r="G370" s="4" t="str">
        <f t="shared" si="5"/>
        <v>Leading</v>
      </c>
    </row>
    <row r="371" spans="1:7" x14ac:dyDescent="0.35">
      <c r="A371" s="4" t="s">
        <v>131</v>
      </c>
      <c r="B371" s="4" t="s">
        <v>119</v>
      </c>
      <c r="C371" s="4" t="s">
        <v>112</v>
      </c>
      <c r="D371" s="4">
        <v>10</v>
      </c>
      <c r="E371" s="4">
        <f>'Raw Data'!O33</f>
        <v>0</v>
      </c>
      <c r="F371" s="4">
        <f>N('Raw Data'!$E33)</f>
        <v>0</v>
      </c>
      <c r="G371" s="4" t="str">
        <f t="shared" si="5"/>
        <v>Leading</v>
      </c>
    </row>
    <row r="372" spans="1:7" x14ac:dyDescent="0.35">
      <c r="A372" s="4" t="s">
        <v>131</v>
      </c>
      <c r="B372" s="4" t="s">
        <v>119</v>
      </c>
      <c r="C372" s="4" t="s">
        <v>113</v>
      </c>
      <c r="D372" s="4">
        <v>11</v>
      </c>
      <c r="E372" s="4">
        <f>'Raw Data'!P33</f>
        <v>0</v>
      </c>
      <c r="F372" s="4">
        <f>N('Raw Data'!$E33)</f>
        <v>0</v>
      </c>
      <c r="G372" s="4" t="str">
        <f t="shared" si="5"/>
        <v>Leading</v>
      </c>
    </row>
    <row r="373" spans="1:7" x14ac:dyDescent="0.35">
      <c r="A373" s="4" t="s">
        <v>131</v>
      </c>
      <c r="B373" s="4" t="s">
        <v>119</v>
      </c>
      <c r="C373" s="4" t="s">
        <v>114</v>
      </c>
      <c r="D373" s="4">
        <v>12</v>
      </c>
      <c r="E373" s="4">
        <f>'Raw Data'!Q33</f>
        <v>0</v>
      </c>
      <c r="F373" s="4">
        <f>N('Raw Data'!$E33)</f>
        <v>0</v>
      </c>
      <c r="G373" s="4" t="str">
        <f t="shared" si="5"/>
        <v>Leading</v>
      </c>
    </row>
    <row r="374" spans="1:7" x14ac:dyDescent="0.35">
      <c r="A374" s="4" t="s">
        <v>131</v>
      </c>
      <c r="B374" s="4" t="s">
        <v>120</v>
      </c>
      <c r="C374" s="4" t="s">
        <v>103</v>
      </c>
      <c r="D374" s="4">
        <v>1</v>
      </c>
      <c r="E374" s="4">
        <f>'Raw Data'!F34</f>
        <v>0</v>
      </c>
      <c r="F374" s="4">
        <f>N('Raw Data'!$E34)</f>
        <v>0</v>
      </c>
      <c r="G374" s="4" t="str">
        <f t="shared" si="5"/>
        <v>Lagging</v>
      </c>
    </row>
    <row r="375" spans="1:7" x14ac:dyDescent="0.35">
      <c r="A375" s="4" t="s">
        <v>131</v>
      </c>
      <c r="B375" s="4" t="s">
        <v>120</v>
      </c>
      <c r="C375" s="4" t="s">
        <v>104</v>
      </c>
      <c r="D375" s="4">
        <v>2</v>
      </c>
      <c r="E375" s="4">
        <f>'Raw Data'!G34</f>
        <v>0</v>
      </c>
      <c r="F375" s="4">
        <f>N('Raw Data'!$E34)</f>
        <v>0</v>
      </c>
      <c r="G375" s="4" t="str">
        <f t="shared" si="5"/>
        <v>Lagging</v>
      </c>
    </row>
    <row r="376" spans="1:7" x14ac:dyDescent="0.35">
      <c r="A376" s="4" t="s">
        <v>131</v>
      </c>
      <c r="B376" s="4" t="s">
        <v>120</v>
      </c>
      <c r="C376" s="4" t="s">
        <v>105</v>
      </c>
      <c r="D376" s="4">
        <v>3</v>
      </c>
      <c r="E376" s="4">
        <f>'Raw Data'!H34</f>
        <v>0</v>
      </c>
      <c r="F376" s="4">
        <f>N('Raw Data'!$E34)</f>
        <v>0</v>
      </c>
      <c r="G376" s="4" t="str">
        <f t="shared" si="5"/>
        <v>Lagging</v>
      </c>
    </row>
    <row r="377" spans="1:7" x14ac:dyDescent="0.35">
      <c r="A377" s="4" t="s">
        <v>131</v>
      </c>
      <c r="B377" s="4" t="s">
        <v>120</v>
      </c>
      <c r="C377" s="4" t="s">
        <v>106</v>
      </c>
      <c r="D377" s="4">
        <v>4</v>
      </c>
      <c r="E377" s="4">
        <f>'Raw Data'!I34</f>
        <v>0</v>
      </c>
      <c r="F377" s="4">
        <f>N('Raw Data'!$E34)</f>
        <v>0</v>
      </c>
      <c r="G377" s="4" t="str">
        <f t="shared" si="5"/>
        <v>Lagging</v>
      </c>
    </row>
    <row r="378" spans="1:7" x14ac:dyDescent="0.35">
      <c r="A378" s="4" t="s">
        <v>131</v>
      </c>
      <c r="B378" s="4" t="s">
        <v>120</v>
      </c>
      <c r="C378" s="4" t="s">
        <v>107</v>
      </c>
      <c r="D378" s="4">
        <v>5</v>
      </c>
      <c r="E378" s="4">
        <f>'Raw Data'!J34</f>
        <v>0</v>
      </c>
      <c r="F378" s="4">
        <f>N('Raw Data'!$E34)</f>
        <v>0</v>
      </c>
      <c r="G378" s="4" t="str">
        <f t="shared" si="5"/>
        <v>Lagging</v>
      </c>
    </row>
    <row r="379" spans="1:7" x14ac:dyDescent="0.35">
      <c r="A379" s="4" t="s">
        <v>131</v>
      </c>
      <c r="B379" s="4" t="s">
        <v>120</v>
      </c>
      <c r="C379" s="4" t="s">
        <v>108</v>
      </c>
      <c r="D379" s="4">
        <v>6</v>
      </c>
      <c r="E379" s="4">
        <f>'Raw Data'!K34</f>
        <v>0</v>
      </c>
      <c r="F379" s="4">
        <f>N('Raw Data'!$E34)</f>
        <v>0</v>
      </c>
      <c r="G379" s="4" t="str">
        <f t="shared" si="5"/>
        <v>Lagging</v>
      </c>
    </row>
    <row r="380" spans="1:7" x14ac:dyDescent="0.35">
      <c r="A380" s="4" t="s">
        <v>131</v>
      </c>
      <c r="B380" s="4" t="s">
        <v>120</v>
      </c>
      <c r="C380" s="4" t="s">
        <v>109</v>
      </c>
      <c r="D380" s="4">
        <v>7</v>
      </c>
      <c r="E380" s="4">
        <f>'Raw Data'!L34</f>
        <v>0</v>
      </c>
      <c r="F380" s="4">
        <f>N('Raw Data'!$E34)</f>
        <v>0</v>
      </c>
      <c r="G380" s="4" t="str">
        <f t="shared" si="5"/>
        <v>Lagging</v>
      </c>
    </row>
    <row r="381" spans="1:7" x14ac:dyDescent="0.35">
      <c r="A381" s="4" t="s">
        <v>131</v>
      </c>
      <c r="B381" s="4" t="s">
        <v>120</v>
      </c>
      <c r="C381" s="4" t="s">
        <v>110</v>
      </c>
      <c r="D381" s="4">
        <v>8</v>
      </c>
      <c r="E381" s="4">
        <f>'Raw Data'!M34</f>
        <v>0</v>
      </c>
      <c r="F381" s="4">
        <f>N('Raw Data'!$E34)</f>
        <v>0</v>
      </c>
      <c r="G381" s="4" t="str">
        <f t="shared" si="5"/>
        <v>Lagging</v>
      </c>
    </row>
    <row r="382" spans="1:7" x14ac:dyDescent="0.35">
      <c r="A382" s="4" t="s">
        <v>131</v>
      </c>
      <c r="B382" s="4" t="s">
        <v>120</v>
      </c>
      <c r="C382" s="4" t="s">
        <v>111</v>
      </c>
      <c r="D382" s="4">
        <v>9</v>
      </c>
      <c r="E382" s="4">
        <f>'Raw Data'!N34</f>
        <v>0</v>
      </c>
      <c r="F382" s="4">
        <f>N('Raw Data'!$E34)</f>
        <v>0</v>
      </c>
      <c r="G382" s="4" t="str">
        <f t="shared" si="5"/>
        <v>Lagging</v>
      </c>
    </row>
    <row r="383" spans="1:7" x14ac:dyDescent="0.35">
      <c r="A383" s="4" t="s">
        <v>131</v>
      </c>
      <c r="B383" s="4" t="s">
        <v>120</v>
      </c>
      <c r="C383" s="4" t="s">
        <v>112</v>
      </c>
      <c r="D383" s="4">
        <v>10</v>
      </c>
      <c r="E383" s="4">
        <f>'Raw Data'!O34</f>
        <v>0</v>
      </c>
      <c r="F383" s="4">
        <f>N('Raw Data'!$E34)</f>
        <v>0</v>
      </c>
      <c r="G383" s="4" t="str">
        <f t="shared" si="5"/>
        <v>Lagging</v>
      </c>
    </row>
    <row r="384" spans="1:7" x14ac:dyDescent="0.35">
      <c r="A384" s="4" t="s">
        <v>131</v>
      </c>
      <c r="B384" s="4" t="s">
        <v>120</v>
      </c>
      <c r="C384" s="4" t="s">
        <v>113</v>
      </c>
      <c r="D384" s="4">
        <v>11</v>
      </c>
      <c r="E384" s="4">
        <f>'Raw Data'!P34</f>
        <v>0</v>
      </c>
      <c r="F384" s="4">
        <f>N('Raw Data'!$E34)</f>
        <v>0</v>
      </c>
      <c r="G384" s="4" t="str">
        <f t="shared" si="5"/>
        <v>Lagging</v>
      </c>
    </row>
    <row r="385" spans="1:7" x14ac:dyDescent="0.35">
      <c r="A385" s="4" t="s">
        <v>131</v>
      </c>
      <c r="B385" s="4" t="s">
        <v>120</v>
      </c>
      <c r="C385" s="4" t="s">
        <v>114</v>
      </c>
      <c r="D385" s="4">
        <v>12</v>
      </c>
      <c r="E385" s="4">
        <f>'Raw Data'!Q34</f>
        <v>0</v>
      </c>
      <c r="F385" s="4">
        <f>N('Raw Data'!$E34)</f>
        <v>0</v>
      </c>
      <c r="G385" s="4" t="str">
        <f t="shared" si="5"/>
        <v>Lagging</v>
      </c>
    </row>
    <row r="386" spans="1:7" x14ac:dyDescent="0.35">
      <c r="A386" s="4" t="s">
        <v>131</v>
      </c>
      <c r="B386" s="4" t="s">
        <v>121</v>
      </c>
      <c r="C386" s="4" t="s">
        <v>103</v>
      </c>
      <c r="D386" s="4">
        <v>1</v>
      </c>
      <c r="E386" s="4">
        <f>'Raw Data'!F35</f>
        <v>0</v>
      </c>
      <c r="F386" s="4">
        <f>N('Raw Data'!$E35)</f>
        <v>0</v>
      </c>
      <c r="G386" s="4" t="str">
        <f t="shared" ref="G386:G449" si="6">IF(COUNTIF($I$2:$I$8,$B386),"Leading",IF(COUNTIF($K$2:$K$8,$B386),"Lagging",""))</f>
        <v>Lagging</v>
      </c>
    </row>
    <row r="387" spans="1:7" x14ac:dyDescent="0.35">
      <c r="A387" s="4" t="s">
        <v>131</v>
      </c>
      <c r="B387" s="4" t="s">
        <v>121</v>
      </c>
      <c r="C387" s="4" t="s">
        <v>104</v>
      </c>
      <c r="D387" s="4">
        <v>2</v>
      </c>
      <c r="E387" s="4">
        <f>'Raw Data'!G35</f>
        <v>0</v>
      </c>
      <c r="F387" s="4">
        <f>N('Raw Data'!$E35)</f>
        <v>0</v>
      </c>
      <c r="G387" s="4" t="str">
        <f t="shared" si="6"/>
        <v>Lagging</v>
      </c>
    </row>
    <row r="388" spans="1:7" x14ac:dyDescent="0.35">
      <c r="A388" s="4" t="s">
        <v>131</v>
      </c>
      <c r="B388" s="4" t="s">
        <v>121</v>
      </c>
      <c r="C388" s="4" t="s">
        <v>105</v>
      </c>
      <c r="D388" s="4">
        <v>3</v>
      </c>
      <c r="E388" s="4">
        <f>'Raw Data'!H35</f>
        <v>0</v>
      </c>
      <c r="F388" s="4">
        <f>N('Raw Data'!$E35)</f>
        <v>0</v>
      </c>
      <c r="G388" s="4" t="str">
        <f t="shared" si="6"/>
        <v>Lagging</v>
      </c>
    </row>
    <row r="389" spans="1:7" x14ac:dyDescent="0.35">
      <c r="A389" s="4" t="s">
        <v>131</v>
      </c>
      <c r="B389" s="4" t="s">
        <v>121</v>
      </c>
      <c r="C389" s="4" t="s">
        <v>106</v>
      </c>
      <c r="D389" s="4">
        <v>4</v>
      </c>
      <c r="E389" s="4">
        <f>'Raw Data'!I35</f>
        <v>0</v>
      </c>
      <c r="F389" s="4">
        <f>N('Raw Data'!$E35)</f>
        <v>0</v>
      </c>
      <c r="G389" s="4" t="str">
        <f t="shared" si="6"/>
        <v>Lagging</v>
      </c>
    </row>
    <row r="390" spans="1:7" x14ac:dyDescent="0.35">
      <c r="A390" s="4" t="s">
        <v>131</v>
      </c>
      <c r="B390" s="4" t="s">
        <v>121</v>
      </c>
      <c r="C390" s="4" t="s">
        <v>107</v>
      </c>
      <c r="D390" s="4">
        <v>5</v>
      </c>
      <c r="E390" s="4">
        <f>'Raw Data'!J35</f>
        <v>0</v>
      </c>
      <c r="F390" s="4">
        <f>N('Raw Data'!$E35)</f>
        <v>0</v>
      </c>
      <c r="G390" s="4" t="str">
        <f t="shared" si="6"/>
        <v>Lagging</v>
      </c>
    </row>
    <row r="391" spans="1:7" x14ac:dyDescent="0.35">
      <c r="A391" s="4" t="s">
        <v>131</v>
      </c>
      <c r="B391" s="4" t="s">
        <v>121</v>
      </c>
      <c r="C391" s="4" t="s">
        <v>108</v>
      </c>
      <c r="D391" s="4">
        <v>6</v>
      </c>
      <c r="E391" s="4">
        <f>'Raw Data'!K35</f>
        <v>0</v>
      </c>
      <c r="F391" s="4">
        <f>N('Raw Data'!$E35)</f>
        <v>0</v>
      </c>
      <c r="G391" s="4" t="str">
        <f t="shared" si="6"/>
        <v>Lagging</v>
      </c>
    </row>
    <row r="392" spans="1:7" x14ac:dyDescent="0.35">
      <c r="A392" s="4" t="s">
        <v>131</v>
      </c>
      <c r="B392" s="4" t="s">
        <v>121</v>
      </c>
      <c r="C392" s="4" t="s">
        <v>109</v>
      </c>
      <c r="D392" s="4">
        <v>7</v>
      </c>
      <c r="E392" s="4">
        <f>'Raw Data'!L35</f>
        <v>0</v>
      </c>
      <c r="F392" s="4">
        <f>N('Raw Data'!$E35)</f>
        <v>0</v>
      </c>
      <c r="G392" s="4" t="str">
        <f t="shared" si="6"/>
        <v>Lagging</v>
      </c>
    </row>
    <row r="393" spans="1:7" x14ac:dyDescent="0.35">
      <c r="A393" s="4" t="s">
        <v>131</v>
      </c>
      <c r="B393" s="4" t="s">
        <v>121</v>
      </c>
      <c r="C393" s="4" t="s">
        <v>110</v>
      </c>
      <c r="D393" s="4">
        <v>8</v>
      </c>
      <c r="E393" s="4">
        <f>'Raw Data'!M35</f>
        <v>0</v>
      </c>
      <c r="F393" s="4">
        <f>N('Raw Data'!$E35)</f>
        <v>0</v>
      </c>
      <c r="G393" s="4" t="str">
        <f t="shared" si="6"/>
        <v>Lagging</v>
      </c>
    </row>
    <row r="394" spans="1:7" x14ac:dyDescent="0.35">
      <c r="A394" s="4" t="s">
        <v>131</v>
      </c>
      <c r="B394" s="4" t="s">
        <v>121</v>
      </c>
      <c r="C394" s="4" t="s">
        <v>111</v>
      </c>
      <c r="D394" s="4">
        <v>9</v>
      </c>
      <c r="E394" s="4">
        <f>'Raw Data'!N35</f>
        <v>0</v>
      </c>
      <c r="F394" s="4">
        <f>N('Raw Data'!$E35)</f>
        <v>0</v>
      </c>
      <c r="G394" s="4" t="str">
        <f t="shared" si="6"/>
        <v>Lagging</v>
      </c>
    </row>
    <row r="395" spans="1:7" x14ac:dyDescent="0.35">
      <c r="A395" s="4" t="s">
        <v>131</v>
      </c>
      <c r="B395" s="4" t="s">
        <v>121</v>
      </c>
      <c r="C395" s="4" t="s">
        <v>112</v>
      </c>
      <c r="D395" s="4">
        <v>10</v>
      </c>
      <c r="E395" s="4">
        <f>'Raw Data'!O35</f>
        <v>0</v>
      </c>
      <c r="F395" s="4">
        <f>N('Raw Data'!$E35)</f>
        <v>0</v>
      </c>
      <c r="G395" s="4" t="str">
        <f t="shared" si="6"/>
        <v>Lagging</v>
      </c>
    </row>
    <row r="396" spans="1:7" x14ac:dyDescent="0.35">
      <c r="A396" s="4" t="s">
        <v>131</v>
      </c>
      <c r="B396" s="4" t="s">
        <v>121</v>
      </c>
      <c r="C396" s="4" t="s">
        <v>113</v>
      </c>
      <c r="D396" s="4">
        <v>11</v>
      </c>
      <c r="E396" s="4">
        <f>'Raw Data'!P35</f>
        <v>0</v>
      </c>
      <c r="F396" s="4">
        <f>N('Raw Data'!$E35)</f>
        <v>0</v>
      </c>
      <c r="G396" s="4" t="str">
        <f t="shared" si="6"/>
        <v>Lagging</v>
      </c>
    </row>
    <row r="397" spans="1:7" x14ac:dyDescent="0.35">
      <c r="A397" s="4" t="s">
        <v>131</v>
      </c>
      <c r="B397" s="4" t="s">
        <v>121</v>
      </c>
      <c r="C397" s="4" t="s">
        <v>114</v>
      </c>
      <c r="D397" s="4">
        <v>12</v>
      </c>
      <c r="E397" s="4">
        <f>'Raw Data'!Q35</f>
        <v>0</v>
      </c>
      <c r="F397" s="4">
        <f>N('Raw Data'!$E35)</f>
        <v>0</v>
      </c>
      <c r="G397" s="4" t="str">
        <f t="shared" si="6"/>
        <v>Lagging</v>
      </c>
    </row>
    <row r="398" spans="1:7" x14ac:dyDescent="0.35">
      <c r="A398" s="4" t="s">
        <v>131</v>
      </c>
      <c r="B398" s="4" t="s">
        <v>68</v>
      </c>
      <c r="C398" s="4" t="s">
        <v>103</v>
      </c>
      <c r="D398" s="4">
        <v>1</v>
      </c>
      <c r="E398" s="4">
        <f>'Raw Data'!F36</f>
        <v>0</v>
      </c>
      <c r="F398" s="4">
        <f>N('Raw Data'!$E36)</f>
        <v>0</v>
      </c>
      <c r="G398" s="4" t="str">
        <f t="shared" si="6"/>
        <v>Lagging</v>
      </c>
    </row>
    <row r="399" spans="1:7" x14ac:dyDescent="0.35">
      <c r="A399" s="4" t="s">
        <v>131</v>
      </c>
      <c r="B399" s="4" t="s">
        <v>68</v>
      </c>
      <c r="C399" s="4" t="s">
        <v>104</v>
      </c>
      <c r="D399" s="4">
        <v>2</v>
      </c>
      <c r="E399" s="4">
        <f>'Raw Data'!G36</f>
        <v>0</v>
      </c>
      <c r="F399" s="4">
        <f>N('Raw Data'!$E36)</f>
        <v>0</v>
      </c>
      <c r="G399" s="4" t="str">
        <f t="shared" si="6"/>
        <v>Lagging</v>
      </c>
    </row>
    <row r="400" spans="1:7" x14ac:dyDescent="0.35">
      <c r="A400" s="4" t="s">
        <v>131</v>
      </c>
      <c r="B400" s="4" t="s">
        <v>68</v>
      </c>
      <c r="C400" s="4" t="s">
        <v>105</v>
      </c>
      <c r="D400" s="4">
        <v>3</v>
      </c>
      <c r="E400" s="4">
        <f>'Raw Data'!H36</f>
        <v>0</v>
      </c>
      <c r="F400" s="4">
        <f>N('Raw Data'!$E36)</f>
        <v>0</v>
      </c>
      <c r="G400" s="4" t="str">
        <f t="shared" si="6"/>
        <v>Lagging</v>
      </c>
    </row>
    <row r="401" spans="1:7" x14ac:dyDescent="0.35">
      <c r="A401" s="4" t="s">
        <v>131</v>
      </c>
      <c r="B401" s="4" t="s">
        <v>68</v>
      </c>
      <c r="C401" s="4" t="s">
        <v>106</v>
      </c>
      <c r="D401" s="4">
        <v>4</v>
      </c>
      <c r="E401" s="4">
        <f>'Raw Data'!I36</f>
        <v>0</v>
      </c>
      <c r="F401" s="4">
        <f>N('Raw Data'!$E36)</f>
        <v>0</v>
      </c>
      <c r="G401" s="4" t="str">
        <f t="shared" si="6"/>
        <v>Lagging</v>
      </c>
    </row>
    <row r="402" spans="1:7" x14ac:dyDescent="0.35">
      <c r="A402" s="4" t="s">
        <v>131</v>
      </c>
      <c r="B402" s="4" t="s">
        <v>68</v>
      </c>
      <c r="C402" s="4" t="s">
        <v>107</v>
      </c>
      <c r="D402" s="4">
        <v>5</v>
      </c>
      <c r="E402" s="4">
        <f>'Raw Data'!J36</f>
        <v>0</v>
      </c>
      <c r="F402" s="4">
        <f>N('Raw Data'!$E36)</f>
        <v>0</v>
      </c>
      <c r="G402" s="4" t="str">
        <f t="shared" si="6"/>
        <v>Lagging</v>
      </c>
    </row>
    <row r="403" spans="1:7" x14ac:dyDescent="0.35">
      <c r="A403" s="4" t="s">
        <v>131</v>
      </c>
      <c r="B403" s="4" t="s">
        <v>68</v>
      </c>
      <c r="C403" s="4" t="s">
        <v>108</v>
      </c>
      <c r="D403" s="4">
        <v>6</v>
      </c>
      <c r="E403" s="4">
        <f>'Raw Data'!K36</f>
        <v>0</v>
      </c>
      <c r="F403" s="4">
        <f>N('Raw Data'!$E36)</f>
        <v>0</v>
      </c>
      <c r="G403" s="4" t="str">
        <f t="shared" si="6"/>
        <v>Lagging</v>
      </c>
    </row>
    <row r="404" spans="1:7" x14ac:dyDescent="0.35">
      <c r="A404" s="4" t="s">
        <v>131</v>
      </c>
      <c r="B404" s="4" t="s">
        <v>68</v>
      </c>
      <c r="C404" s="4" t="s">
        <v>109</v>
      </c>
      <c r="D404" s="4">
        <v>7</v>
      </c>
      <c r="E404" s="4">
        <f>'Raw Data'!L36</f>
        <v>0</v>
      </c>
      <c r="F404" s="4">
        <f>N('Raw Data'!$E36)</f>
        <v>0</v>
      </c>
      <c r="G404" s="4" t="str">
        <f t="shared" si="6"/>
        <v>Lagging</v>
      </c>
    </row>
    <row r="405" spans="1:7" x14ac:dyDescent="0.35">
      <c r="A405" s="4" t="s">
        <v>131</v>
      </c>
      <c r="B405" s="4" t="s">
        <v>68</v>
      </c>
      <c r="C405" s="4" t="s">
        <v>110</v>
      </c>
      <c r="D405" s="4">
        <v>8</v>
      </c>
      <c r="E405" s="4">
        <f>'Raw Data'!M36</f>
        <v>0</v>
      </c>
      <c r="F405" s="4">
        <f>N('Raw Data'!$E36)</f>
        <v>0</v>
      </c>
      <c r="G405" s="4" t="str">
        <f t="shared" si="6"/>
        <v>Lagging</v>
      </c>
    </row>
    <row r="406" spans="1:7" x14ac:dyDescent="0.35">
      <c r="A406" s="4" t="s">
        <v>131</v>
      </c>
      <c r="B406" s="4" t="s">
        <v>68</v>
      </c>
      <c r="C406" s="4" t="s">
        <v>111</v>
      </c>
      <c r="D406" s="4">
        <v>9</v>
      </c>
      <c r="E406" s="4">
        <f>'Raw Data'!N36</f>
        <v>0</v>
      </c>
      <c r="F406" s="4">
        <f>N('Raw Data'!$E36)</f>
        <v>0</v>
      </c>
      <c r="G406" s="4" t="str">
        <f t="shared" si="6"/>
        <v>Lagging</v>
      </c>
    </row>
    <row r="407" spans="1:7" x14ac:dyDescent="0.35">
      <c r="A407" s="4" t="s">
        <v>131</v>
      </c>
      <c r="B407" s="4" t="s">
        <v>68</v>
      </c>
      <c r="C407" s="4" t="s">
        <v>112</v>
      </c>
      <c r="D407" s="4">
        <v>10</v>
      </c>
      <c r="E407" s="4">
        <f>'Raw Data'!O36</f>
        <v>0</v>
      </c>
      <c r="F407" s="4">
        <f>N('Raw Data'!$E36)</f>
        <v>0</v>
      </c>
      <c r="G407" s="4" t="str">
        <f t="shared" si="6"/>
        <v>Lagging</v>
      </c>
    </row>
    <row r="408" spans="1:7" x14ac:dyDescent="0.35">
      <c r="A408" s="4" t="s">
        <v>131</v>
      </c>
      <c r="B408" s="4" t="s">
        <v>68</v>
      </c>
      <c r="C408" s="4" t="s">
        <v>113</v>
      </c>
      <c r="D408" s="4">
        <v>11</v>
      </c>
      <c r="E408" s="4">
        <f>'Raw Data'!P36</f>
        <v>0</v>
      </c>
      <c r="F408" s="4">
        <f>N('Raw Data'!$E36)</f>
        <v>0</v>
      </c>
      <c r="G408" s="4" t="str">
        <f t="shared" si="6"/>
        <v>Lagging</v>
      </c>
    </row>
    <row r="409" spans="1:7" x14ac:dyDescent="0.35">
      <c r="A409" s="4" t="s">
        <v>131</v>
      </c>
      <c r="B409" s="4" t="s">
        <v>68</v>
      </c>
      <c r="C409" s="4" t="s">
        <v>114</v>
      </c>
      <c r="D409" s="4">
        <v>12</v>
      </c>
      <c r="E409" s="4">
        <f>'Raw Data'!Q36</f>
        <v>0</v>
      </c>
      <c r="F409" s="4">
        <f>N('Raw Data'!$E36)</f>
        <v>0</v>
      </c>
      <c r="G409" s="4" t="str">
        <f t="shared" si="6"/>
        <v>Lagging</v>
      </c>
    </row>
    <row r="410" spans="1:7" x14ac:dyDescent="0.35">
      <c r="A410" s="4" t="s">
        <v>131</v>
      </c>
      <c r="B410" s="4" t="s">
        <v>122</v>
      </c>
      <c r="C410" s="4" t="s">
        <v>103</v>
      </c>
      <c r="D410" s="4">
        <v>1</v>
      </c>
      <c r="E410" s="4">
        <f>'Raw Data'!F37</f>
        <v>0</v>
      </c>
      <c r="F410" s="4">
        <f>N('Raw Data'!$E37)</f>
        <v>0</v>
      </c>
      <c r="G410" s="4" t="str">
        <f t="shared" si="6"/>
        <v>Lagging</v>
      </c>
    </row>
    <row r="411" spans="1:7" x14ac:dyDescent="0.35">
      <c r="A411" s="4" t="s">
        <v>131</v>
      </c>
      <c r="B411" s="4" t="s">
        <v>122</v>
      </c>
      <c r="C411" s="4" t="s">
        <v>104</v>
      </c>
      <c r="D411" s="4">
        <v>2</v>
      </c>
      <c r="E411" s="4">
        <f>'Raw Data'!G37</f>
        <v>0</v>
      </c>
      <c r="F411" s="4">
        <f>N('Raw Data'!$E37)</f>
        <v>0</v>
      </c>
      <c r="G411" s="4" t="str">
        <f t="shared" si="6"/>
        <v>Lagging</v>
      </c>
    </row>
    <row r="412" spans="1:7" x14ac:dyDescent="0.35">
      <c r="A412" s="4" t="s">
        <v>131</v>
      </c>
      <c r="B412" s="4" t="s">
        <v>122</v>
      </c>
      <c r="C412" s="4" t="s">
        <v>105</v>
      </c>
      <c r="D412" s="4">
        <v>3</v>
      </c>
      <c r="E412" s="4">
        <f>'Raw Data'!H37</f>
        <v>0</v>
      </c>
      <c r="F412" s="4">
        <f>N('Raw Data'!$E37)</f>
        <v>0</v>
      </c>
      <c r="G412" s="4" t="str">
        <f t="shared" si="6"/>
        <v>Lagging</v>
      </c>
    </row>
    <row r="413" spans="1:7" x14ac:dyDescent="0.35">
      <c r="A413" s="4" t="s">
        <v>131</v>
      </c>
      <c r="B413" s="4" t="s">
        <v>122</v>
      </c>
      <c r="C413" s="4" t="s">
        <v>106</v>
      </c>
      <c r="D413" s="4">
        <v>4</v>
      </c>
      <c r="E413" s="4">
        <f>'Raw Data'!I37</f>
        <v>0</v>
      </c>
      <c r="F413" s="4">
        <f>N('Raw Data'!$E37)</f>
        <v>0</v>
      </c>
      <c r="G413" s="4" t="str">
        <f t="shared" si="6"/>
        <v>Lagging</v>
      </c>
    </row>
    <row r="414" spans="1:7" x14ac:dyDescent="0.35">
      <c r="A414" s="4" t="s">
        <v>131</v>
      </c>
      <c r="B414" s="4" t="s">
        <v>122</v>
      </c>
      <c r="C414" s="4" t="s">
        <v>107</v>
      </c>
      <c r="D414" s="4">
        <v>5</v>
      </c>
      <c r="E414" s="4">
        <f>'Raw Data'!J37</f>
        <v>0</v>
      </c>
      <c r="F414" s="4">
        <f>N('Raw Data'!$E37)</f>
        <v>0</v>
      </c>
      <c r="G414" s="4" t="str">
        <f t="shared" si="6"/>
        <v>Lagging</v>
      </c>
    </row>
    <row r="415" spans="1:7" x14ac:dyDescent="0.35">
      <c r="A415" s="4" t="s">
        <v>131</v>
      </c>
      <c r="B415" s="4" t="s">
        <v>122</v>
      </c>
      <c r="C415" s="4" t="s">
        <v>108</v>
      </c>
      <c r="D415" s="4">
        <v>6</v>
      </c>
      <c r="E415" s="4">
        <f>'Raw Data'!K37</f>
        <v>0</v>
      </c>
      <c r="F415" s="4">
        <f>N('Raw Data'!$E37)</f>
        <v>0</v>
      </c>
      <c r="G415" s="4" t="str">
        <f t="shared" si="6"/>
        <v>Lagging</v>
      </c>
    </row>
    <row r="416" spans="1:7" x14ac:dyDescent="0.35">
      <c r="A416" s="4" t="s">
        <v>131</v>
      </c>
      <c r="B416" s="4" t="s">
        <v>122</v>
      </c>
      <c r="C416" s="4" t="s">
        <v>109</v>
      </c>
      <c r="D416" s="4">
        <v>7</v>
      </c>
      <c r="E416" s="4">
        <f>'Raw Data'!L37</f>
        <v>0</v>
      </c>
      <c r="F416" s="4">
        <f>N('Raw Data'!$E37)</f>
        <v>0</v>
      </c>
      <c r="G416" s="4" t="str">
        <f t="shared" si="6"/>
        <v>Lagging</v>
      </c>
    </row>
    <row r="417" spans="1:7" x14ac:dyDescent="0.35">
      <c r="A417" s="4" t="s">
        <v>131</v>
      </c>
      <c r="B417" s="4" t="s">
        <v>122</v>
      </c>
      <c r="C417" s="4" t="s">
        <v>110</v>
      </c>
      <c r="D417" s="4">
        <v>8</v>
      </c>
      <c r="E417" s="4">
        <f>'Raw Data'!M37</f>
        <v>0</v>
      </c>
      <c r="F417" s="4">
        <f>N('Raw Data'!$E37)</f>
        <v>0</v>
      </c>
      <c r="G417" s="4" t="str">
        <f t="shared" si="6"/>
        <v>Lagging</v>
      </c>
    </row>
    <row r="418" spans="1:7" x14ac:dyDescent="0.35">
      <c r="A418" s="4" t="s">
        <v>131</v>
      </c>
      <c r="B418" s="4" t="s">
        <v>122</v>
      </c>
      <c r="C418" s="4" t="s">
        <v>111</v>
      </c>
      <c r="D418" s="4">
        <v>9</v>
      </c>
      <c r="E418" s="4">
        <f>'Raw Data'!N37</f>
        <v>0</v>
      </c>
      <c r="F418" s="4">
        <f>N('Raw Data'!$E37)</f>
        <v>0</v>
      </c>
      <c r="G418" s="4" t="str">
        <f t="shared" si="6"/>
        <v>Lagging</v>
      </c>
    </row>
    <row r="419" spans="1:7" x14ac:dyDescent="0.35">
      <c r="A419" s="4" t="s">
        <v>131</v>
      </c>
      <c r="B419" s="4" t="s">
        <v>122</v>
      </c>
      <c r="C419" s="4" t="s">
        <v>112</v>
      </c>
      <c r="D419" s="4">
        <v>10</v>
      </c>
      <c r="E419" s="4">
        <f>'Raw Data'!O37</f>
        <v>0</v>
      </c>
      <c r="F419" s="4">
        <f>N('Raw Data'!$E37)</f>
        <v>0</v>
      </c>
      <c r="G419" s="4" t="str">
        <f t="shared" si="6"/>
        <v>Lagging</v>
      </c>
    </row>
    <row r="420" spans="1:7" x14ac:dyDescent="0.35">
      <c r="A420" s="4" t="s">
        <v>131</v>
      </c>
      <c r="B420" s="4" t="s">
        <v>122</v>
      </c>
      <c r="C420" s="4" t="s">
        <v>113</v>
      </c>
      <c r="D420" s="4">
        <v>11</v>
      </c>
      <c r="E420" s="4">
        <f>'Raw Data'!P37</f>
        <v>0</v>
      </c>
      <c r="F420" s="4">
        <f>N('Raw Data'!$E37)</f>
        <v>0</v>
      </c>
      <c r="G420" s="4" t="str">
        <f t="shared" si="6"/>
        <v>Lagging</v>
      </c>
    </row>
    <row r="421" spans="1:7" x14ac:dyDescent="0.35">
      <c r="A421" s="4" t="s">
        <v>131</v>
      </c>
      <c r="B421" s="4" t="s">
        <v>122</v>
      </c>
      <c r="C421" s="4" t="s">
        <v>114</v>
      </c>
      <c r="D421" s="4">
        <v>12</v>
      </c>
      <c r="E421" s="4">
        <f>'Raw Data'!Q37</f>
        <v>0</v>
      </c>
      <c r="F421" s="4">
        <f>N('Raw Data'!$E37)</f>
        <v>0</v>
      </c>
      <c r="G421" s="4" t="str">
        <f t="shared" si="6"/>
        <v>Lagging</v>
      </c>
    </row>
    <row r="422" spans="1:7" x14ac:dyDescent="0.35">
      <c r="A422" s="4" t="s">
        <v>131</v>
      </c>
      <c r="B422" s="4" t="s">
        <v>123</v>
      </c>
      <c r="C422" s="4" t="s">
        <v>103</v>
      </c>
      <c r="D422" s="4">
        <v>1</v>
      </c>
      <c r="E422" s="4">
        <f>'Raw Data'!F38</f>
        <v>0</v>
      </c>
      <c r="F422" s="4">
        <f>N('Raw Data'!$E38)</f>
        <v>0</v>
      </c>
      <c r="G422" s="4" t="str">
        <f t="shared" si="6"/>
        <v>Lagging</v>
      </c>
    </row>
    <row r="423" spans="1:7" x14ac:dyDescent="0.35">
      <c r="A423" s="4" t="s">
        <v>131</v>
      </c>
      <c r="B423" s="4" t="s">
        <v>123</v>
      </c>
      <c r="C423" s="4" t="s">
        <v>104</v>
      </c>
      <c r="D423" s="4">
        <v>2</v>
      </c>
      <c r="E423" s="4">
        <f>'Raw Data'!G38</f>
        <v>0</v>
      </c>
      <c r="F423" s="4">
        <f>N('Raw Data'!$E38)</f>
        <v>0</v>
      </c>
      <c r="G423" s="4" t="str">
        <f t="shared" si="6"/>
        <v>Lagging</v>
      </c>
    </row>
    <row r="424" spans="1:7" x14ac:dyDescent="0.35">
      <c r="A424" s="4" t="s">
        <v>131</v>
      </c>
      <c r="B424" s="4" t="s">
        <v>123</v>
      </c>
      <c r="C424" s="4" t="s">
        <v>105</v>
      </c>
      <c r="D424" s="4">
        <v>3</v>
      </c>
      <c r="E424" s="4">
        <f>'Raw Data'!H38</f>
        <v>0</v>
      </c>
      <c r="F424" s="4">
        <f>N('Raw Data'!$E38)</f>
        <v>0</v>
      </c>
      <c r="G424" s="4" t="str">
        <f t="shared" si="6"/>
        <v>Lagging</v>
      </c>
    </row>
    <row r="425" spans="1:7" x14ac:dyDescent="0.35">
      <c r="A425" s="4" t="s">
        <v>131</v>
      </c>
      <c r="B425" s="4" t="s">
        <v>123</v>
      </c>
      <c r="C425" s="4" t="s">
        <v>106</v>
      </c>
      <c r="D425" s="4">
        <v>4</v>
      </c>
      <c r="E425" s="4">
        <f>'Raw Data'!I38</f>
        <v>0</v>
      </c>
      <c r="F425" s="4">
        <f>N('Raw Data'!$E38)</f>
        <v>0</v>
      </c>
      <c r="G425" s="4" t="str">
        <f t="shared" si="6"/>
        <v>Lagging</v>
      </c>
    </row>
    <row r="426" spans="1:7" x14ac:dyDescent="0.35">
      <c r="A426" s="4" t="s">
        <v>131</v>
      </c>
      <c r="B426" s="4" t="s">
        <v>123</v>
      </c>
      <c r="C426" s="4" t="s">
        <v>107</v>
      </c>
      <c r="D426" s="4">
        <v>5</v>
      </c>
      <c r="E426" s="4">
        <f>'Raw Data'!J38</f>
        <v>0</v>
      </c>
      <c r="F426" s="4">
        <f>N('Raw Data'!$E38)</f>
        <v>0</v>
      </c>
      <c r="G426" s="4" t="str">
        <f t="shared" si="6"/>
        <v>Lagging</v>
      </c>
    </row>
    <row r="427" spans="1:7" x14ac:dyDescent="0.35">
      <c r="A427" s="4" t="s">
        <v>131</v>
      </c>
      <c r="B427" s="4" t="s">
        <v>123</v>
      </c>
      <c r="C427" s="4" t="s">
        <v>108</v>
      </c>
      <c r="D427" s="4">
        <v>6</v>
      </c>
      <c r="E427" s="4">
        <f>'Raw Data'!K38</f>
        <v>0</v>
      </c>
      <c r="F427" s="4">
        <f>N('Raw Data'!$E38)</f>
        <v>0</v>
      </c>
      <c r="G427" s="4" t="str">
        <f t="shared" si="6"/>
        <v>Lagging</v>
      </c>
    </row>
    <row r="428" spans="1:7" x14ac:dyDescent="0.35">
      <c r="A428" s="4" t="s">
        <v>131</v>
      </c>
      <c r="B428" s="4" t="s">
        <v>123</v>
      </c>
      <c r="C428" s="4" t="s">
        <v>109</v>
      </c>
      <c r="D428" s="4">
        <v>7</v>
      </c>
      <c r="E428" s="4">
        <f>'Raw Data'!L38</f>
        <v>0</v>
      </c>
      <c r="F428" s="4">
        <f>N('Raw Data'!$E38)</f>
        <v>0</v>
      </c>
      <c r="G428" s="4" t="str">
        <f t="shared" si="6"/>
        <v>Lagging</v>
      </c>
    </row>
    <row r="429" spans="1:7" x14ac:dyDescent="0.35">
      <c r="A429" s="4" t="s">
        <v>131</v>
      </c>
      <c r="B429" s="4" t="s">
        <v>123</v>
      </c>
      <c r="C429" s="4" t="s">
        <v>110</v>
      </c>
      <c r="D429" s="4">
        <v>8</v>
      </c>
      <c r="E429" s="4">
        <f>'Raw Data'!M38</f>
        <v>0</v>
      </c>
      <c r="F429" s="4">
        <f>N('Raw Data'!$E38)</f>
        <v>0</v>
      </c>
      <c r="G429" s="4" t="str">
        <f t="shared" si="6"/>
        <v>Lagging</v>
      </c>
    </row>
    <row r="430" spans="1:7" x14ac:dyDescent="0.35">
      <c r="A430" s="4" t="s">
        <v>131</v>
      </c>
      <c r="B430" s="4" t="s">
        <v>123</v>
      </c>
      <c r="C430" s="4" t="s">
        <v>111</v>
      </c>
      <c r="D430" s="4">
        <v>9</v>
      </c>
      <c r="E430" s="4">
        <f>'Raw Data'!N38</f>
        <v>0</v>
      </c>
      <c r="F430" s="4">
        <f>N('Raw Data'!$E38)</f>
        <v>0</v>
      </c>
      <c r="G430" s="4" t="str">
        <f t="shared" si="6"/>
        <v>Lagging</v>
      </c>
    </row>
    <row r="431" spans="1:7" x14ac:dyDescent="0.35">
      <c r="A431" s="4" t="s">
        <v>131</v>
      </c>
      <c r="B431" s="4" t="s">
        <v>123</v>
      </c>
      <c r="C431" s="4" t="s">
        <v>112</v>
      </c>
      <c r="D431" s="4">
        <v>10</v>
      </c>
      <c r="E431" s="4">
        <f>'Raw Data'!O38</f>
        <v>0</v>
      </c>
      <c r="F431" s="4">
        <f>N('Raw Data'!$E38)</f>
        <v>0</v>
      </c>
      <c r="G431" s="4" t="str">
        <f t="shared" si="6"/>
        <v>Lagging</v>
      </c>
    </row>
    <row r="432" spans="1:7" x14ac:dyDescent="0.35">
      <c r="A432" s="4" t="s">
        <v>131</v>
      </c>
      <c r="B432" s="4" t="s">
        <v>123</v>
      </c>
      <c r="C432" s="4" t="s">
        <v>113</v>
      </c>
      <c r="D432" s="4">
        <v>11</v>
      </c>
      <c r="E432" s="4">
        <f>'Raw Data'!P38</f>
        <v>0</v>
      </c>
      <c r="F432" s="4">
        <f>N('Raw Data'!$E38)</f>
        <v>0</v>
      </c>
      <c r="G432" s="4" t="str">
        <f t="shared" si="6"/>
        <v>Lagging</v>
      </c>
    </row>
    <row r="433" spans="1:7" x14ac:dyDescent="0.35">
      <c r="A433" s="4" t="s">
        <v>131</v>
      </c>
      <c r="B433" s="4" t="s">
        <v>123</v>
      </c>
      <c r="C433" s="4" t="s">
        <v>114</v>
      </c>
      <c r="D433" s="4">
        <v>12</v>
      </c>
      <c r="E433" s="4">
        <f>'Raw Data'!Q38</f>
        <v>0</v>
      </c>
      <c r="F433" s="4">
        <f>N('Raw Data'!$E38)</f>
        <v>0</v>
      </c>
      <c r="G433" s="4" t="str">
        <f t="shared" si="6"/>
        <v>Lagging</v>
      </c>
    </row>
    <row r="434" spans="1:7" x14ac:dyDescent="0.35">
      <c r="A434" s="4" t="s">
        <v>131</v>
      </c>
      <c r="B434" s="4" t="s">
        <v>124</v>
      </c>
      <c r="C434" s="4" t="s">
        <v>103</v>
      </c>
      <c r="D434" s="4">
        <v>1</v>
      </c>
      <c r="E434" s="4">
        <f>'Raw Data'!F39</f>
        <v>0</v>
      </c>
      <c r="F434" s="4">
        <f>N('Raw Data'!$E39)</f>
        <v>0</v>
      </c>
      <c r="G434" s="4" t="str">
        <f t="shared" si="6"/>
        <v>Lagging</v>
      </c>
    </row>
    <row r="435" spans="1:7" x14ac:dyDescent="0.35">
      <c r="A435" s="4" t="s">
        <v>131</v>
      </c>
      <c r="B435" s="4" t="s">
        <v>124</v>
      </c>
      <c r="C435" s="4" t="s">
        <v>104</v>
      </c>
      <c r="D435" s="4">
        <v>2</v>
      </c>
      <c r="E435" s="4">
        <f>'Raw Data'!G39</f>
        <v>0</v>
      </c>
      <c r="F435" s="4">
        <f>N('Raw Data'!$E39)</f>
        <v>0</v>
      </c>
      <c r="G435" s="4" t="str">
        <f t="shared" si="6"/>
        <v>Lagging</v>
      </c>
    </row>
    <row r="436" spans="1:7" x14ac:dyDescent="0.35">
      <c r="A436" s="4" t="s">
        <v>131</v>
      </c>
      <c r="B436" s="4" t="s">
        <v>124</v>
      </c>
      <c r="C436" s="4" t="s">
        <v>105</v>
      </c>
      <c r="D436" s="4">
        <v>3</v>
      </c>
      <c r="E436" s="4">
        <f>'Raw Data'!H39</f>
        <v>0</v>
      </c>
      <c r="F436" s="4">
        <f>N('Raw Data'!$E39)</f>
        <v>0</v>
      </c>
      <c r="G436" s="4" t="str">
        <f t="shared" si="6"/>
        <v>Lagging</v>
      </c>
    </row>
    <row r="437" spans="1:7" x14ac:dyDescent="0.35">
      <c r="A437" s="4" t="s">
        <v>131</v>
      </c>
      <c r="B437" s="4" t="s">
        <v>124</v>
      </c>
      <c r="C437" s="4" t="s">
        <v>106</v>
      </c>
      <c r="D437" s="4">
        <v>4</v>
      </c>
      <c r="E437" s="4">
        <f>'Raw Data'!I39</f>
        <v>0</v>
      </c>
      <c r="F437" s="4">
        <f>N('Raw Data'!$E39)</f>
        <v>0</v>
      </c>
      <c r="G437" s="4" t="str">
        <f t="shared" si="6"/>
        <v>Lagging</v>
      </c>
    </row>
    <row r="438" spans="1:7" x14ac:dyDescent="0.35">
      <c r="A438" s="4" t="s">
        <v>131</v>
      </c>
      <c r="B438" s="4" t="s">
        <v>124</v>
      </c>
      <c r="C438" s="4" t="s">
        <v>107</v>
      </c>
      <c r="D438" s="4">
        <v>5</v>
      </c>
      <c r="E438" s="4">
        <f>'Raw Data'!J39</f>
        <v>0</v>
      </c>
      <c r="F438" s="4">
        <f>N('Raw Data'!$E39)</f>
        <v>0</v>
      </c>
      <c r="G438" s="4" t="str">
        <f t="shared" si="6"/>
        <v>Lagging</v>
      </c>
    </row>
    <row r="439" spans="1:7" x14ac:dyDescent="0.35">
      <c r="A439" s="4" t="s">
        <v>131</v>
      </c>
      <c r="B439" s="4" t="s">
        <v>124</v>
      </c>
      <c r="C439" s="4" t="s">
        <v>108</v>
      </c>
      <c r="D439" s="4">
        <v>6</v>
      </c>
      <c r="E439" s="4">
        <f>'Raw Data'!K39</f>
        <v>0</v>
      </c>
      <c r="F439" s="4">
        <f>N('Raw Data'!$E39)</f>
        <v>0</v>
      </c>
      <c r="G439" s="4" t="str">
        <f t="shared" si="6"/>
        <v>Lagging</v>
      </c>
    </row>
    <row r="440" spans="1:7" x14ac:dyDescent="0.35">
      <c r="A440" s="4" t="s">
        <v>131</v>
      </c>
      <c r="B440" s="4" t="s">
        <v>124</v>
      </c>
      <c r="C440" s="4" t="s">
        <v>109</v>
      </c>
      <c r="D440" s="4">
        <v>7</v>
      </c>
      <c r="E440" s="4">
        <f>'Raw Data'!L39</f>
        <v>0</v>
      </c>
      <c r="F440" s="4">
        <f>N('Raw Data'!$E39)</f>
        <v>0</v>
      </c>
      <c r="G440" s="4" t="str">
        <f t="shared" si="6"/>
        <v>Lagging</v>
      </c>
    </row>
    <row r="441" spans="1:7" x14ac:dyDescent="0.35">
      <c r="A441" s="4" t="s">
        <v>131</v>
      </c>
      <c r="B441" s="4" t="s">
        <v>124</v>
      </c>
      <c r="C441" s="4" t="s">
        <v>110</v>
      </c>
      <c r="D441" s="4">
        <v>8</v>
      </c>
      <c r="E441" s="4">
        <f>'Raw Data'!M39</f>
        <v>0</v>
      </c>
      <c r="F441" s="4">
        <f>N('Raw Data'!$E39)</f>
        <v>0</v>
      </c>
      <c r="G441" s="4" t="str">
        <f t="shared" si="6"/>
        <v>Lagging</v>
      </c>
    </row>
    <row r="442" spans="1:7" x14ac:dyDescent="0.35">
      <c r="A442" s="4" t="s">
        <v>131</v>
      </c>
      <c r="B442" s="4" t="s">
        <v>124</v>
      </c>
      <c r="C442" s="4" t="s">
        <v>111</v>
      </c>
      <c r="D442" s="4">
        <v>9</v>
      </c>
      <c r="E442" s="4">
        <f>'Raw Data'!N39</f>
        <v>0</v>
      </c>
      <c r="F442" s="4">
        <f>N('Raw Data'!$E39)</f>
        <v>0</v>
      </c>
      <c r="G442" s="4" t="str">
        <f t="shared" si="6"/>
        <v>Lagging</v>
      </c>
    </row>
    <row r="443" spans="1:7" x14ac:dyDescent="0.35">
      <c r="A443" s="4" t="s">
        <v>131</v>
      </c>
      <c r="B443" s="4" t="s">
        <v>124</v>
      </c>
      <c r="C443" s="4" t="s">
        <v>112</v>
      </c>
      <c r="D443" s="4">
        <v>10</v>
      </c>
      <c r="E443" s="4">
        <f>'Raw Data'!O39</f>
        <v>0</v>
      </c>
      <c r="F443" s="4">
        <f>N('Raw Data'!$E39)</f>
        <v>0</v>
      </c>
      <c r="G443" s="4" t="str">
        <f t="shared" si="6"/>
        <v>Lagging</v>
      </c>
    </row>
    <row r="444" spans="1:7" x14ac:dyDescent="0.35">
      <c r="A444" s="4" t="s">
        <v>131</v>
      </c>
      <c r="B444" s="4" t="s">
        <v>124</v>
      </c>
      <c r="C444" s="4" t="s">
        <v>113</v>
      </c>
      <c r="D444" s="4">
        <v>11</v>
      </c>
      <c r="E444" s="4">
        <f>'Raw Data'!P39</f>
        <v>0</v>
      </c>
      <c r="F444" s="4">
        <f>N('Raw Data'!$E39)</f>
        <v>0</v>
      </c>
      <c r="G444" s="4" t="str">
        <f t="shared" si="6"/>
        <v>Lagging</v>
      </c>
    </row>
    <row r="445" spans="1:7" x14ac:dyDescent="0.35">
      <c r="A445" s="4" t="s">
        <v>131</v>
      </c>
      <c r="B445" s="4" t="s">
        <v>124</v>
      </c>
      <c r="C445" s="4" t="s">
        <v>114</v>
      </c>
      <c r="D445" s="4">
        <v>12</v>
      </c>
      <c r="E445" s="4">
        <f>'Raw Data'!Q39</f>
        <v>0</v>
      </c>
      <c r="F445" s="4">
        <f>N('Raw Data'!$E39)</f>
        <v>0</v>
      </c>
      <c r="G445" s="4" t="str">
        <f t="shared" si="6"/>
        <v>Lagging</v>
      </c>
    </row>
    <row r="446" spans="1:7" x14ac:dyDescent="0.35">
      <c r="A446" s="4" t="s">
        <v>131</v>
      </c>
      <c r="B446" s="4" t="s">
        <v>51</v>
      </c>
      <c r="C446" s="4" t="s">
        <v>103</v>
      </c>
      <c r="D446" s="4">
        <v>1</v>
      </c>
      <c r="E446" s="4">
        <f>'Raw Data'!F40</f>
        <v>0</v>
      </c>
      <c r="F446" s="4">
        <f>N('Raw Data'!$E40)</f>
        <v>0</v>
      </c>
      <c r="G446" s="4" t="str">
        <f t="shared" si="6"/>
        <v>Lagging</v>
      </c>
    </row>
    <row r="447" spans="1:7" x14ac:dyDescent="0.35">
      <c r="A447" s="4" t="s">
        <v>131</v>
      </c>
      <c r="B447" s="4" t="s">
        <v>51</v>
      </c>
      <c r="C447" s="4" t="s">
        <v>104</v>
      </c>
      <c r="D447" s="4">
        <v>2</v>
      </c>
      <c r="E447" s="4">
        <f>'Raw Data'!G40</f>
        <v>0</v>
      </c>
      <c r="F447" s="4">
        <f>N('Raw Data'!$E40)</f>
        <v>0</v>
      </c>
      <c r="G447" s="4" t="str">
        <f t="shared" si="6"/>
        <v>Lagging</v>
      </c>
    </row>
    <row r="448" spans="1:7" x14ac:dyDescent="0.35">
      <c r="A448" s="4" t="s">
        <v>131</v>
      </c>
      <c r="B448" s="4" t="s">
        <v>51</v>
      </c>
      <c r="C448" s="4" t="s">
        <v>105</v>
      </c>
      <c r="D448" s="4">
        <v>3</v>
      </c>
      <c r="E448" s="4">
        <f>'Raw Data'!H40</f>
        <v>0</v>
      </c>
      <c r="F448" s="4">
        <f>N('Raw Data'!$E40)</f>
        <v>0</v>
      </c>
      <c r="G448" s="4" t="str">
        <f t="shared" si="6"/>
        <v>Lagging</v>
      </c>
    </row>
    <row r="449" spans="1:7" x14ac:dyDescent="0.35">
      <c r="A449" s="4" t="s">
        <v>131</v>
      </c>
      <c r="B449" s="4" t="s">
        <v>51</v>
      </c>
      <c r="C449" s="4" t="s">
        <v>106</v>
      </c>
      <c r="D449" s="4">
        <v>4</v>
      </c>
      <c r="E449" s="4">
        <f>'Raw Data'!I40</f>
        <v>0</v>
      </c>
      <c r="F449" s="4">
        <f>N('Raw Data'!$E40)</f>
        <v>0</v>
      </c>
      <c r="G449" s="4" t="str">
        <f t="shared" si="6"/>
        <v>Lagging</v>
      </c>
    </row>
    <row r="450" spans="1:7" x14ac:dyDescent="0.35">
      <c r="A450" s="4" t="s">
        <v>131</v>
      </c>
      <c r="B450" s="4" t="s">
        <v>51</v>
      </c>
      <c r="C450" s="4" t="s">
        <v>107</v>
      </c>
      <c r="D450" s="4">
        <v>5</v>
      </c>
      <c r="E450" s="4">
        <f>'Raw Data'!J40</f>
        <v>0</v>
      </c>
      <c r="F450" s="4">
        <f>N('Raw Data'!$E40)</f>
        <v>0</v>
      </c>
      <c r="G450" s="4" t="str">
        <f t="shared" ref="G450:G505" si="7">IF(COUNTIF($I$2:$I$8,$B450),"Leading",IF(COUNTIF($K$2:$K$8,$B450),"Lagging",""))</f>
        <v>Lagging</v>
      </c>
    </row>
    <row r="451" spans="1:7" x14ac:dyDescent="0.35">
      <c r="A451" s="4" t="s">
        <v>131</v>
      </c>
      <c r="B451" s="4" t="s">
        <v>51</v>
      </c>
      <c r="C451" s="4" t="s">
        <v>108</v>
      </c>
      <c r="D451" s="4">
        <v>6</v>
      </c>
      <c r="E451" s="4">
        <f>'Raw Data'!K40</f>
        <v>0</v>
      </c>
      <c r="F451" s="4">
        <f>N('Raw Data'!$E40)</f>
        <v>0</v>
      </c>
      <c r="G451" s="4" t="str">
        <f t="shared" si="7"/>
        <v>Lagging</v>
      </c>
    </row>
    <row r="452" spans="1:7" x14ac:dyDescent="0.35">
      <c r="A452" s="4" t="s">
        <v>131</v>
      </c>
      <c r="B452" s="4" t="s">
        <v>51</v>
      </c>
      <c r="C452" s="4" t="s">
        <v>109</v>
      </c>
      <c r="D452" s="4">
        <v>7</v>
      </c>
      <c r="E452" s="4">
        <f>'Raw Data'!L40</f>
        <v>0</v>
      </c>
      <c r="F452" s="4">
        <f>N('Raw Data'!$E40)</f>
        <v>0</v>
      </c>
      <c r="G452" s="4" t="str">
        <f t="shared" si="7"/>
        <v>Lagging</v>
      </c>
    </row>
    <row r="453" spans="1:7" x14ac:dyDescent="0.35">
      <c r="A453" s="4" t="s">
        <v>131</v>
      </c>
      <c r="B453" s="4" t="s">
        <v>51</v>
      </c>
      <c r="C453" s="4" t="s">
        <v>110</v>
      </c>
      <c r="D453" s="4">
        <v>8</v>
      </c>
      <c r="E453" s="4">
        <f>'Raw Data'!M40</f>
        <v>0</v>
      </c>
      <c r="F453" s="4">
        <f>N('Raw Data'!$E40)</f>
        <v>0</v>
      </c>
      <c r="G453" s="4" t="str">
        <f t="shared" si="7"/>
        <v>Lagging</v>
      </c>
    </row>
    <row r="454" spans="1:7" x14ac:dyDescent="0.35">
      <c r="A454" s="4" t="s">
        <v>131</v>
      </c>
      <c r="B454" s="4" t="s">
        <v>51</v>
      </c>
      <c r="C454" s="4" t="s">
        <v>111</v>
      </c>
      <c r="D454" s="4">
        <v>9</v>
      </c>
      <c r="E454" s="4">
        <f>'Raw Data'!N40</f>
        <v>0</v>
      </c>
      <c r="F454" s="4">
        <f>N('Raw Data'!$E40)</f>
        <v>0</v>
      </c>
      <c r="G454" s="4" t="str">
        <f t="shared" si="7"/>
        <v>Lagging</v>
      </c>
    </row>
    <row r="455" spans="1:7" x14ac:dyDescent="0.35">
      <c r="A455" s="4" t="s">
        <v>131</v>
      </c>
      <c r="B455" s="4" t="s">
        <v>51</v>
      </c>
      <c r="C455" s="4" t="s">
        <v>112</v>
      </c>
      <c r="D455" s="4">
        <v>10</v>
      </c>
      <c r="E455" s="4">
        <f>'Raw Data'!O40</f>
        <v>0</v>
      </c>
      <c r="F455" s="4">
        <f>N('Raw Data'!$E40)</f>
        <v>0</v>
      </c>
      <c r="G455" s="4" t="str">
        <f t="shared" si="7"/>
        <v>Lagging</v>
      </c>
    </row>
    <row r="456" spans="1:7" x14ac:dyDescent="0.35">
      <c r="A456" s="4" t="s">
        <v>131</v>
      </c>
      <c r="B456" s="4" t="s">
        <v>51</v>
      </c>
      <c r="C456" s="4" t="s">
        <v>113</v>
      </c>
      <c r="D456" s="4">
        <v>11</v>
      </c>
      <c r="E456" s="4">
        <f>'Raw Data'!P40</f>
        <v>0</v>
      </c>
      <c r="F456" s="4">
        <f>N('Raw Data'!$E40)</f>
        <v>0</v>
      </c>
      <c r="G456" s="4" t="str">
        <f t="shared" si="7"/>
        <v>Lagging</v>
      </c>
    </row>
    <row r="457" spans="1:7" x14ac:dyDescent="0.35">
      <c r="A457" s="4" t="s">
        <v>131</v>
      </c>
      <c r="B457" s="4" t="s">
        <v>51</v>
      </c>
      <c r="C457" s="4" t="s">
        <v>114</v>
      </c>
      <c r="D457" s="4">
        <v>12</v>
      </c>
      <c r="E457" s="4">
        <f>'Raw Data'!Q40</f>
        <v>0</v>
      </c>
      <c r="F457" s="4">
        <f>N('Raw Data'!$E40)</f>
        <v>0</v>
      </c>
      <c r="G457" s="4" t="str">
        <f t="shared" si="7"/>
        <v>Lagging</v>
      </c>
    </row>
    <row r="458" spans="1:7" x14ac:dyDescent="0.35">
      <c r="A458" s="4" t="s">
        <v>131</v>
      </c>
      <c r="B458" s="4" t="s">
        <v>125</v>
      </c>
      <c r="C458" s="4" t="s">
        <v>103</v>
      </c>
      <c r="D458" s="4">
        <v>1</v>
      </c>
      <c r="E458" s="4">
        <f>'Raw Data'!F41</f>
        <v>0</v>
      </c>
      <c r="F458" s="4">
        <f>N('Raw Data'!$E41)</f>
        <v>2</v>
      </c>
      <c r="G458" s="4" t="str">
        <f t="shared" si="7"/>
        <v>Leading</v>
      </c>
    </row>
    <row r="459" spans="1:7" x14ac:dyDescent="0.35">
      <c r="A459" s="4" t="s">
        <v>131</v>
      </c>
      <c r="B459" s="4" t="s">
        <v>125</v>
      </c>
      <c r="C459" s="4" t="s">
        <v>104</v>
      </c>
      <c r="D459" s="4">
        <v>2</v>
      </c>
      <c r="E459" s="4">
        <f>'Raw Data'!G41</f>
        <v>0</v>
      </c>
      <c r="F459" s="4">
        <f>N('Raw Data'!$E41)</f>
        <v>2</v>
      </c>
      <c r="G459" s="4" t="str">
        <f t="shared" si="7"/>
        <v>Leading</v>
      </c>
    </row>
    <row r="460" spans="1:7" x14ac:dyDescent="0.35">
      <c r="A460" s="4" t="s">
        <v>131</v>
      </c>
      <c r="B460" s="4" t="s">
        <v>125</v>
      </c>
      <c r="C460" s="4" t="s">
        <v>105</v>
      </c>
      <c r="D460" s="4">
        <v>3</v>
      </c>
      <c r="E460" s="4">
        <f>'Raw Data'!H41</f>
        <v>1</v>
      </c>
      <c r="F460" s="4">
        <f>N('Raw Data'!$E41)</f>
        <v>2</v>
      </c>
      <c r="G460" s="4" t="str">
        <f t="shared" si="7"/>
        <v>Leading</v>
      </c>
    </row>
    <row r="461" spans="1:7" x14ac:dyDescent="0.35">
      <c r="A461" s="4" t="s">
        <v>131</v>
      </c>
      <c r="B461" s="4" t="s">
        <v>125</v>
      </c>
      <c r="C461" s="4" t="s">
        <v>106</v>
      </c>
      <c r="D461" s="4">
        <v>4</v>
      </c>
      <c r="E461" s="4">
        <f>'Raw Data'!I41</f>
        <v>3</v>
      </c>
      <c r="F461" s="4">
        <f>N('Raw Data'!$E41)</f>
        <v>2</v>
      </c>
      <c r="G461" s="4" t="str">
        <f t="shared" si="7"/>
        <v>Leading</v>
      </c>
    </row>
    <row r="462" spans="1:7" x14ac:dyDescent="0.35">
      <c r="A462" s="4" t="s">
        <v>131</v>
      </c>
      <c r="B462" s="4" t="s">
        <v>125</v>
      </c>
      <c r="C462" s="4" t="s">
        <v>107</v>
      </c>
      <c r="D462" s="4">
        <v>5</v>
      </c>
      <c r="E462" s="4">
        <f>'Raw Data'!J41</f>
        <v>4</v>
      </c>
      <c r="F462" s="4">
        <f>N('Raw Data'!$E41)</f>
        <v>2</v>
      </c>
      <c r="G462" s="4" t="str">
        <f t="shared" si="7"/>
        <v>Leading</v>
      </c>
    </row>
    <row r="463" spans="1:7" x14ac:dyDescent="0.35">
      <c r="A463" s="4" t="s">
        <v>131</v>
      </c>
      <c r="B463" s="4" t="s">
        <v>125</v>
      </c>
      <c r="C463" s="4" t="s">
        <v>108</v>
      </c>
      <c r="D463" s="4">
        <v>6</v>
      </c>
      <c r="E463" s="4">
        <f>'Raw Data'!K41</f>
        <v>0</v>
      </c>
      <c r="F463" s="4">
        <f>N('Raw Data'!$E41)</f>
        <v>2</v>
      </c>
      <c r="G463" s="4" t="str">
        <f t="shared" si="7"/>
        <v>Leading</v>
      </c>
    </row>
    <row r="464" spans="1:7" x14ac:dyDescent="0.35">
      <c r="A464" s="4" t="s">
        <v>131</v>
      </c>
      <c r="B464" s="4" t="s">
        <v>125</v>
      </c>
      <c r="C464" s="4" t="s">
        <v>109</v>
      </c>
      <c r="D464" s="4">
        <v>7</v>
      </c>
      <c r="E464" s="4">
        <f>'Raw Data'!L41</f>
        <v>0</v>
      </c>
      <c r="F464" s="4">
        <f>N('Raw Data'!$E41)</f>
        <v>2</v>
      </c>
      <c r="G464" s="4" t="str">
        <f t="shared" si="7"/>
        <v>Leading</v>
      </c>
    </row>
    <row r="465" spans="1:7" x14ac:dyDescent="0.35">
      <c r="A465" s="4" t="s">
        <v>131</v>
      </c>
      <c r="B465" s="4" t="s">
        <v>125</v>
      </c>
      <c r="C465" s="4" t="s">
        <v>110</v>
      </c>
      <c r="D465" s="4">
        <v>8</v>
      </c>
      <c r="E465" s="4">
        <f>'Raw Data'!M41</f>
        <v>0</v>
      </c>
      <c r="F465" s="4">
        <f>N('Raw Data'!$E41)</f>
        <v>2</v>
      </c>
      <c r="G465" s="4" t="str">
        <f t="shared" si="7"/>
        <v>Leading</v>
      </c>
    </row>
    <row r="466" spans="1:7" x14ac:dyDescent="0.35">
      <c r="A466" s="4" t="s">
        <v>131</v>
      </c>
      <c r="B466" s="4" t="s">
        <v>125</v>
      </c>
      <c r="C466" s="4" t="s">
        <v>111</v>
      </c>
      <c r="D466" s="4">
        <v>9</v>
      </c>
      <c r="E466" s="4">
        <f>'Raw Data'!N41</f>
        <v>0</v>
      </c>
      <c r="F466" s="4">
        <f>N('Raw Data'!$E41)</f>
        <v>2</v>
      </c>
      <c r="G466" s="4" t="str">
        <f t="shared" si="7"/>
        <v>Leading</v>
      </c>
    </row>
    <row r="467" spans="1:7" x14ac:dyDescent="0.35">
      <c r="A467" s="4" t="s">
        <v>131</v>
      </c>
      <c r="B467" s="4" t="s">
        <v>125</v>
      </c>
      <c r="C467" s="4" t="s">
        <v>112</v>
      </c>
      <c r="D467" s="4">
        <v>10</v>
      </c>
      <c r="E467" s="4">
        <f>'Raw Data'!O41</f>
        <v>0</v>
      </c>
      <c r="F467" s="4">
        <f>N('Raw Data'!$E41)</f>
        <v>2</v>
      </c>
      <c r="G467" s="4" t="str">
        <f t="shared" si="7"/>
        <v>Leading</v>
      </c>
    </row>
    <row r="468" spans="1:7" x14ac:dyDescent="0.35">
      <c r="A468" s="4" t="s">
        <v>131</v>
      </c>
      <c r="B468" s="4" t="s">
        <v>125</v>
      </c>
      <c r="C468" s="4" t="s">
        <v>113</v>
      </c>
      <c r="D468" s="4">
        <v>11</v>
      </c>
      <c r="E468" s="4">
        <f>'Raw Data'!P41</f>
        <v>0</v>
      </c>
      <c r="F468" s="4">
        <f>N('Raw Data'!$E41)</f>
        <v>2</v>
      </c>
      <c r="G468" s="4" t="str">
        <f t="shared" si="7"/>
        <v>Leading</v>
      </c>
    </row>
    <row r="469" spans="1:7" x14ac:dyDescent="0.35">
      <c r="A469" s="4" t="s">
        <v>131</v>
      </c>
      <c r="B469" s="4" t="s">
        <v>125</v>
      </c>
      <c r="C469" s="4" t="s">
        <v>114</v>
      </c>
      <c r="D469" s="4">
        <v>12</v>
      </c>
      <c r="E469" s="4">
        <f>'Raw Data'!Q41</f>
        <v>0</v>
      </c>
      <c r="F469" s="4">
        <f>N('Raw Data'!$E41)</f>
        <v>2</v>
      </c>
      <c r="G469" s="4" t="str">
        <f t="shared" si="7"/>
        <v>Leading</v>
      </c>
    </row>
    <row r="470" spans="1:7" x14ac:dyDescent="0.35">
      <c r="A470" s="4" t="s">
        <v>131</v>
      </c>
      <c r="B470" s="4" t="s">
        <v>126</v>
      </c>
      <c r="C470" s="4" t="s">
        <v>103</v>
      </c>
      <c r="D470" s="4">
        <v>1</v>
      </c>
      <c r="E470" s="4">
        <f>'Raw Data'!F42</f>
        <v>0</v>
      </c>
      <c r="F470" s="4">
        <f>N('Raw Data'!$E42)</f>
        <v>4</v>
      </c>
      <c r="G470" s="4" t="str">
        <f t="shared" si="7"/>
        <v>Leading</v>
      </c>
    </row>
    <row r="471" spans="1:7" x14ac:dyDescent="0.35">
      <c r="A471" s="4" t="s">
        <v>131</v>
      </c>
      <c r="B471" s="4" t="s">
        <v>126</v>
      </c>
      <c r="C471" s="4" t="s">
        <v>104</v>
      </c>
      <c r="D471" s="4">
        <v>2</v>
      </c>
      <c r="E471" s="4">
        <f>'Raw Data'!G42</f>
        <v>0</v>
      </c>
      <c r="F471" s="4">
        <f>N('Raw Data'!$E42)</f>
        <v>4</v>
      </c>
      <c r="G471" s="4" t="str">
        <f t="shared" si="7"/>
        <v>Leading</v>
      </c>
    </row>
    <row r="472" spans="1:7" x14ac:dyDescent="0.35">
      <c r="A472" s="4" t="s">
        <v>131</v>
      </c>
      <c r="B472" s="4" t="s">
        <v>126</v>
      </c>
      <c r="C472" s="4" t="s">
        <v>105</v>
      </c>
      <c r="D472" s="4">
        <v>3</v>
      </c>
      <c r="E472" s="4">
        <f>'Raw Data'!H42</f>
        <v>2</v>
      </c>
      <c r="F472" s="4">
        <f>N('Raw Data'!$E42)</f>
        <v>4</v>
      </c>
      <c r="G472" s="4" t="str">
        <f t="shared" si="7"/>
        <v>Leading</v>
      </c>
    </row>
    <row r="473" spans="1:7" x14ac:dyDescent="0.35">
      <c r="A473" s="4" t="s">
        <v>131</v>
      </c>
      <c r="B473" s="4" t="s">
        <v>126</v>
      </c>
      <c r="C473" s="4" t="s">
        <v>106</v>
      </c>
      <c r="D473" s="4">
        <v>4</v>
      </c>
      <c r="E473" s="4">
        <f>'Raw Data'!I42</f>
        <v>4</v>
      </c>
      <c r="F473" s="4">
        <f>N('Raw Data'!$E42)</f>
        <v>4</v>
      </c>
      <c r="G473" s="4" t="str">
        <f t="shared" si="7"/>
        <v>Leading</v>
      </c>
    </row>
    <row r="474" spans="1:7" x14ac:dyDescent="0.35">
      <c r="A474" s="4" t="s">
        <v>131</v>
      </c>
      <c r="B474" s="4" t="s">
        <v>126</v>
      </c>
      <c r="C474" s="4" t="s">
        <v>107</v>
      </c>
      <c r="D474" s="4">
        <v>5</v>
      </c>
      <c r="E474" s="4">
        <f>'Raw Data'!J42</f>
        <v>3</v>
      </c>
      <c r="F474" s="4">
        <f>N('Raw Data'!$E42)</f>
        <v>4</v>
      </c>
      <c r="G474" s="4" t="str">
        <f t="shared" si="7"/>
        <v>Leading</v>
      </c>
    </row>
    <row r="475" spans="1:7" x14ac:dyDescent="0.35">
      <c r="A475" s="4" t="s">
        <v>131</v>
      </c>
      <c r="B475" s="4" t="s">
        <v>126</v>
      </c>
      <c r="C475" s="4" t="s">
        <v>108</v>
      </c>
      <c r="D475" s="4">
        <v>6</v>
      </c>
      <c r="E475" s="4">
        <f>'Raw Data'!K42</f>
        <v>4</v>
      </c>
      <c r="F475" s="4">
        <f>N('Raw Data'!$E42)</f>
        <v>4</v>
      </c>
      <c r="G475" s="4" t="str">
        <f t="shared" si="7"/>
        <v>Leading</v>
      </c>
    </row>
    <row r="476" spans="1:7" x14ac:dyDescent="0.35">
      <c r="A476" s="4" t="s">
        <v>131</v>
      </c>
      <c r="B476" s="4" t="s">
        <v>126</v>
      </c>
      <c r="C476" s="4" t="s">
        <v>109</v>
      </c>
      <c r="D476" s="4">
        <v>7</v>
      </c>
      <c r="E476" s="4">
        <f>'Raw Data'!L42</f>
        <v>0</v>
      </c>
      <c r="F476" s="4">
        <f>N('Raw Data'!$E42)</f>
        <v>4</v>
      </c>
      <c r="G476" s="4" t="str">
        <f t="shared" si="7"/>
        <v>Leading</v>
      </c>
    </row>
    <row r="477" spans="1:7" x14ac:dyDescent="0.35">
      <c r="A477" s="4" t="s">
        <v>131</v>
      </c>
      <c r="B477" s="4" t="s">
        <v>126</v>
      </c>
      <c r="C477" s="4" t="s">
        <v>110</v>
      </c>
      <c r="D477" s="4">
        <v>8</v>
      </c>
      <c r="E477" s="4">
        <f>'Raw Data'!M42</f>
        <v>0</v>
      </c>
      <c r="F477" s="4">
        <f>N('Raw Data'!$E42)</f>
        <v>4</v>
      </c>
      <c r="G477" s="4" t="str">
        <f t="shared" si="7"/>
        <v>Leading</v>
      </c>
    </row>
    <row r="478" spans="1:7" x14ac:dyDescent="0.35">
      <c r="A478" s="4" t="s">
        <v>131</v>
      </c>
      <c r="B478" s="4" t="s">
        <v>126</v>
      </c>
      <c r="C478" s="4" t="s">
        <v>111</v>
      </c>
      <c r="D478" s="4">
        <v>9</v>
      </c>
      <c r="E478" s="4">
        <f>'Raw Data'!N42</f>
        <v>0</v>
      </c>
      <c r="F478" s="4">
        <f>N('Raw Data'!$E42)</f>
        <v>4</v>
      </c>
      <c r="G478" s="4" t="str">
        <f t="shared" si="7"/>
        <v>Leading</v>
      </c>
    </row>
    <row r="479" spans="1:7" x14ac:dyDescent="0.35">
      <c r="A479" s="4" t="s">
        <v>131</v>
      </c>
      <c r="B479" s="4" t="s">
        <v>126</v>
      </c>
      <c r="C479" s="4" t="s">
        <v>112</v>
      </c>
      <c r="D479" s="4">
        <v>10</v>
      </c>
      <c r="E479" s="4">
        <f>'Raw Data'!O42</f>
        <v>0</v>
      </c>
      <c r="F479" s="4">
        <f>N('Raw Data'!$E42)</f>
        <v>4</v>
      </c>
      <c r="G479" s="4" t="str">
        <f t="shared" si="7"/>
        <v>Leading</v>
      </c>
    </row>
    <row r="480" spans="1:7" x14ac:dyDescent="0.35">
      <c r="A480" s="4" t="s">
        <v>131</v>
      </c>
      <c r="B480" s="4" t="s">
        <v>126</v>
      </c>
      <c r="C480" s="4" t="s">
        <v>113</v>
      </c>
      <c r="D480" s="4">
        <v>11</v>
      </c>
      <c r="E480" s="4">
        <f>'Raw Data'!P42</f>
        <v>0</v>
      </c>
      <c r="F480" s="4">
        <f>N('Raw Data'!$E42)</f>
        <v>4</v>
      </c>
      <c r="G480" s="4" t="str">
        <f t="shared" si="7"/>
        <v>Leading</v>
      </c>
    </row>
    <row r="481" spans="1:7" x14ac:dyDescent="0.35">
      <c r="A481" s="4" t="s">
        <v>131</v>
      </c>
      <c r="B481" s="4" t="s">
        <v>126</v>
      </c>
      <c r="C481" s="4" t="s">
        <v>114</v>
      </c>
      <c r="D481" s="4">
        <v>12</v>
      </c>
      <c r="E481" s="4">
        <f>'Raw Data'!Q42</f>
        <v>0</v>
      </c>
      <c r="F481" s="4">
        <f>N('Raw Data'!$E42)</f>
        <v>4</v>
      </c>
      <c r="G481" s="4" t="str">
        <f t="shared" si="7"/>
        <v>Leading</v>
      </c>
    </row>
    <row r="482" spans="1:7" x14ac:dyDescent="0.35">
      <c r="A482" s="4" t="s">
        <v>131</v>
      </c>
      <c r="B482" s="4" t="s">
        <v>127</v>
      </c>
      <c r="C482" s="4" t="s">
        <v>103</v>
      </c>
      <c r="D482" s="4">
        <v>1</v>
      </c>
      <c r="E482" s="4">
        <f>'Raw Data'!F43</f>
        <v>0</v>
      </c>
      <c r="F482" s="4">
        <f>N('Raw Data'!$E43)</f>
        <v>4</v>
      </c>
      <c r="G482" s="4" t="str">
        <f t="shared" si="7"/>
        <v>Leading</v>
      </c>
    </row>
    <row r="483" spans="1:7" x14ac:dyDescent="0.35">
      <c r="A483" s="4" t="s">
        <v>131</v>
      </c>
      <c r="B483" s="4" t="s">
        <v>127</v>
      </c>
      <c r="C483" s="4" t="s">
        <v>104</v>
      </c>
      <c r="D483" s="4">
        <v>2</v>
      </c>
      <c r="E483" s="4">
        <f>'Raw Data'!G43</f>
        <v>0</v>
      </c>
      <c r="F483" s="4">
        <f>N('Raw Data'!$E43)</f>
        <v>4</v>
      </c>
      <c r="G483" s="4" t="str">
        <f t="shared" si="7"/>
        <v>Leading</v>
      </c>
    </row>
    <row r="484" spans="1:7" x14ac:dyDescent="0.35">
      <c r="A484" s="4" t="s">
        <v>131</v>
      </c>
      <c r="B484" s="4" t="s">
        <v>127</v>
      </c>
      <c r="C484" s="4" t="s">
        <v>105</v>
      </c>
      <c r="D484" s="4">
        <v>3</v>
      </c>
      <c r="E484" s="4">
        <f>'Raw Data'!H43</f>
        <v>3</v>
      </c>
      <c r="F484" s="4">
        <f>N('Raw Data'!$E43)</f>
        <v>4</v>
      </c>
      <c r="G484" s="4" t="str">
        <f t="shared" si="7"/>
        <v>Leading</v>
      </c>
    </row>
    <row r="485" spans="1:7" x14ac:dyDescent="0.35">
      <c r="A485" s="4" t="s">
        <v>131</v>
      </c>
      <c r="B485" s="4" t="s">
        <v>127</v>
      </c>
      <c r="C485" s="4" t="s">
        <v>106</v>
      </c>
      <c r="D485" s="4">
        <v>4</v>
      </c>
      <c r="E485" s="4">
        <f>'Raw Data'!I43</f>
        <v>3</v>
      </c>
      <c r="F485" s="4">
        <f>N('Raw Data'!$E43)</f>
        <v>4</v>
      </c>
      <c r="G485" s="4" t="str">
        <f t="shared" si="7"/>
        <v>Leading</v>
      </c>
    </row>
    <row r="486" spans="1:7" x14ac:dyDescent="0.35">
      <c r="A486" s="4" t="s">
        <v>131</v>
      </c>
      <c r="B486" s="4" t="s">
        <v>127</v>
      </c>
      <c r="C486" s="4" t="s">
        <v>107</v>
      </c>
      <c r="D486" s="4">
        <v>5</v>
      </c>
      <c r="E486" s="4">
        <f>'Raw Data'!J43</f>
        <v>4</v>
      </c>
      <c r="F486" s="4">
        <f>N('Raw Data'!$E43)</f>
        <v>4</v>
      </c>
      <c r="G486" s="4" t="str">
        <f t="shared" si="7"/>
        <v>Leading</v>
      </c>
    </row>
    <row r="487" spans="1:7" x14ac:dyDescent="0.35">
      <c r="A487" s="4" t="s">
        <v>131</v>
      </c>
      <c r="B487" s="4" t="s">
        <v>127</v>
      </c>
      <c r="C487" s="4" t="s">
        <v>108</v>
      </c>
      <c r="D487" s="4">
        <v>6</v>
      </c>
      <c r="E487" s="4">
        <f>'Raw Data'!K43</f>
        <v>0</v>
      </c>
      <c r="F487" s="4">
        <f>N('Raw Data'!$E43)</f>
        <v>4</v>
      </c>
      <c r="G487" s="4" t="str">
        <f t="shared" si="7"/>
        <v>Leading</v>
      </c>
    </row>
    <row r="488" spans="1:7" x14ac:dyDescent="0.35">
      <c r="A488" s="4" t="s">
        <v>131</v>
      </c>
      <c r="B488" s="4" t="s">
        <v>127</v>
      </c>
      <c r="C488" s="4" t="s">
        <v>109</v>
      </c>
      <c r="D488" s="4">
        <v>7</v>
      </c>
      <c r="E488" s="4">
        <f>'Raw Data'!L43</f>
        <v>0</v>
      </c>
      <c r="F488" s="4">
        <f>N('Raw Data'!$E43)</f>
        <v>4</v>
      </c>
      <c r="G488" s="4" t="str">
        <f t="shared" si="7"/>
        <v>Leading</v>
      </c>
    </row>
    <row r="489" spans="1:7" x14ac:dyDescent="0.35">
      <c r="A489" s="4" t="s">
        <v>131</v>
      </c>
      <c r="B489" s="4" t="s">
        <v>127</v>
      </c>
      <c r="C489" s="4" t="s">
        <v>110</v>
      </c>
      <c r="D489" s="4">
        <v>8</v>
      </c>
      <c r="E489" s="4">
        <f>'Raw Data'!M43</f>
        <v>0</v>
      </c>
      <c r="F489" s="4">
        <f>N('Raw Data'!$E43)</f>
        <v>4</v>
      </c>
      <c r="G489" s="4" t="str">
        <f t="shared" si="7"/>
        <v>Leading</v>
      </c>
    </row>
    <row r="490" spans="1:7" x14ac:dyDescent="0.35">
      <c r="A490" s="4" t="s">
        <v>131</v>
      </c>
      <c r="B490" s="4" t="s">
        <v>127</v>
      </c>
      <c r="C490" s="4" t="s">
        <v>111</v>
      </c>
      <c r="D490" s="4">
        <v>9</v>
      </c>
      <c r="E490" s="4">
        <f>'Raw Data'!N43</f>
        <v>0</v>
      </c>
      <c r="F490" s="4">
        <f>N('Raw Data'!$E43)</f>
        <v>4</v>
      </c>
      <c r="G490" s="4" t="str">
        <f t="shared" si="7"/>
        <v>Leading</v>
      </c>
    </row>
    <row r="491" spans="1:7" x14ac:dyDescent="0.35">
      <c r="A491" s="4" t="s">
        <v>131</v>
      </c>
      <c r="B491" s="4" t="s">
        <v>127</v>
      </c>
      <c r="C491" s="4" t="s">
        <v>112</v>
      </c>
      <c r="D491" s="4">
        <v>10</v>
      </c>
      <c r="E491" s="4">
        <f>'Raw Data'!O43</f>
        <v>0</v>
      </c>
      <c r="F491" s="4">
        <f>N('Raw Data'!$E43)</f>
        <v>4</v>
      </c>
      <c r="G491" s="4" t="str">
        <f t="shared" si="7"/>
        <v>Leading</v>
      </c>
    </row>
    <row r="492" spans="1:7" x14ac:dyDescent="0.35">
      <c r="A492" s="4" t="s">
        <v>131</v>
      </c>
      <c r="B492" s="4" t="s">
        <v>127</v>
      </c>
      <c r="C492" s="4" t="s">
        <v>113</v>
      </c>
      <c r="D492" s="4">
        <v>11</v>
      </c>
      <c r="E492" s="4">
        <f>'Raw Data'!P43</f>
        <v>0</v>
      </c>
      <c r="F492" s="4">
        <f>N('Raw Data'!$E43)</f>
        <v>4</v>
      </c>
      <c r="G492" s="4" t="str">
        <f t="shared" si="7"/>
        <v>Leading</v>
      </c>
    </row>
    <row r="493" spans="1:7" x14ac:dyDescent="0.35">
      <c r="A493" s="4" t="s">
        <v>131</v>
      </c>
      <c r="B493" s="4" t="s">
        <v>127</v>
      </c>
      <c r="C493" s="4" t="s">
        <v>114</v>
      </c>
      <c r="D493" s="4">
        <v>12</v>
      </c>
      <c r="E493" s="4">
        <f>'Raw Data'!Q43</f>
        <v>0</v>
      </c>
      <c r="F493" s="4">
        <f>N('Raw Data'!$E43)</f>
        <v>4</v>
      </c>
      <c r="G493" s="4" t="str">
        <f t="shared" si="7"/>
        <v>Leading</v>
      </c>
    </row>
    <row r="494" spans="1:7" x14ac:dyDescent="0.35">
      <c r="A494" s="4" t="s">
        <v>131</v>
      </c>
      <c r="B494" s="4" t="s">
        <v>128</v>
      </c>
      <c r="C494" s="4" t="s">
        <v>103</v>
      </c>
      <c r="D494" s="4">
        <v>1</v>
      </c>
      <c r="E494" s="4">
        <f>'Raw Data'!F44</f>
        <v>0</v>
      </c>
      <c r="F494" s="4">
        <f>N('Raw Data'!$E44)</f>
        <v>1</v>
      </c>
      <c r="G494" s="4" t="str">
        <f t="shared" si="7"/>
        <v>Leading</v>
      </c>
    </row>
    <row r="495" spans="1:7" x14ac:dyDescent="0.35">
      <c r="A495" s="4" t="s">
        <v>131</v>
      </c>
      <c r="B495" s="4" t="s">
        <v>128</v>
      </c>
      <c r="C495" s="4" t="s">
        <v>104</v>
      </c>
      <c r="D495" s="4">
        <v>2</v>
      </c>
      <c r="E495" s="4">
        <f>'Raw Data'!G44</f>
        <v>0</v>
      </c>
      <c r="F495" s="4">
        <f>N('Raw Data'!$E44)</f>
        <v>1</v>
      </c>
      <c r="G495" s="4" t="str">
        <f t="shared" si="7"/>
        <v>Leading</v>
      </c>
    </row>
    <row r="496" spans="1:7" x14ac:dyDescent="0.35">
      <c r="A496" s="4" t="s">
        <v>131</v>
      </c>
      <c r="B496" s="4" t="s">
        <v>128</v>
      </c>
      <c r="C496" s="4" t="s">
        <v>105</v>
      </c>
      <c r="D496" s="4">
        <v>3</v>
      </c>
      <c r="E496" s="4">
        <f>'Raw Data'!H44</f>
        <v>0</v>
      </c>
      <c r="F496" s="4">
        <f>N('Raw Data'!$E44)</f>
        <v>1</v>
      </c>
      <c r="G496" s="4" t="str">
        <f t="shared" si="7"/>
        <v>Leading</v>
      </c>
    </row>
    <row r="497" spans="1:7" x14ac:dyDescent="0.35">
      <c r="A497" s="4" t="s">
        <v>131</v>
      </c>
      <c r="B497" s="4" t="s">
        <v>128</v>
      </c>
      <c r="C497" s="4" t="s">
        <v>106</v>
      </c>
      <c r="D497" s="4">
        <v>4</v>
      </c>
      <c r="E497" s="4">
        <f>'Raw Data'!I44</f>
        <v>1</v>
      </c>
      <c r="F497" s="4">
        <f>N('Raw Data'!$E44)</f>
        <v>1</v>
      </c>
      <c r="G497" s="4" t="str">
        <f t="shared" si="7"/>
        <v>Leading</v>
      </c>
    </row>
    <row r="498" spans="1:7" x14ac:dyDescent="0.35">
      <c r="A498" s="4" t="s">
        <v>131</v>
      </c>
      <c r="B498" s="4" t="s">
        <v>128</v>
      </c>
      <c r="C498" s="4" t="s">
        <v>107</v>
      </c>
      <c r="D498" s="4">
        <v>5</v>
      </c>
      <c r="E498" s="4">
        <f>'Raw Data'!J44</f>
        <v>1</v>
      </c>
      <c r="F498" s="4">
        <f>N('Raw Data'!$E44)</f>
        <v>1</v>
      </c>
      <c r="G498" s="4" t="str">
        <f t="shared" si="7"/>
        <v>Leading</v>
      </c>
    </row>
    <row r="499" spans="1:7" x14ac:dyDescent="0.35">
      <c r="A499" s="4" t="s">
        <v>131</v>
      </c>
      <c r="B499" s="4" t="s">
        <v>128</v>
      </c>
      <c r="C499" s="4" t="s">
        <v>108</v>
      </c>
      <c r="D499" s="4">
        <v>6</v>
      </c>
      <c r="E499" s="4">
        <f>'Raw Data'!K44</f>
        <v>0</v>
      </c>
      <c r="F499" s="4">
        <f>N('Raw Data'!$E44)</f>
        <v>1</v>
      </c>
      <c r="G499" s="4" t="str">
        <f t="shared" si="7"/>
        <v>Leading</v>
      </c>
    </row>
    <row r="500" spans="1:7" x14ac:dyDescent="0.35">
      <c r="A500" s="4" t="s">
        <v>131</v>
      </c>
      <c r="B500" s="4" t="s">
        <v>128</v>
      </c>
      <c r="C500" s="4" t="s">
        <v>109</v>
      </c>
      <c r="D500" s="4">
        <v>7</v>
      </c>
      <c r="E500" s="4">
        <f>'Raw Data'!L44</f>
        <v>0</v>
      </c>
      <c r="F500" s="4">
        <f>N('Raw Data'!$E44)</f>
        <v>1</v>
      </c>
      <c r="G500" s="4" t="str">
        <f t="shared" si="7"/>
        <v>Leading</v>
      </c>
    </row>
    <row r="501" spans="1:7" x14ac:dyDescent="0.35">
      <c r="A501" s="4" t="s">
        <v>131</v>
      </c>
      <c r="B501" s="4" t="s">
        <v>128</v>
      </c>
      <c r="C501" s="4" t="s">
        <v>110</v>
      </c>
      <c r="D501" s="4">
        <v>8</v>
      </c>
      <c r="E501" s="4">
        <f>'Raw Data'!M44</f>
        <v>0</v>
      </c>
      <c r="F501" s="4">
        <f>N('Raw Data'!$E44)</f>
        <v>1</v>
      </c>
      <c r="G501" s="4" t="str">
        <f t="shared" si="7"/>
        <v>Leading</v>
      </c>
    </row>
    <row r="502" spans="1:7" x14ac:dyDescent="0.35">
      <c r="A502" s="4" t="s">
        <v>131</v>
      </c>
      <c r="B502" s="4" t="s">
        <v>128</v>
      </c>
      <c r="C502" s="4" t="s">
        <v>111</v>
      </c>
      <c r="D502" s="4">
        <v>9</v>
      </c>
      <c r="E502" s="4">
        <f>'Raw Data'!N44</f>
        <v>0</v>
      </c>
      <c r="F502" s="4">
        <f>N('Raw Data'!$E44)</f>
        <v>1</v>
      </c>
      <c r="G502" s="4" t="str">
        <f t="shared" si="7"/>
        <v>Leading</v>
      </c>
    </row>
    <row r="503" spans="1:7" x14ac:dyDescent="0.35">
      <c r="A503" s="4" t="s">
        <v>131</v>
      </c>
      <c r="B503" s="4" t="s">
        <v>128</v>
      </c>
      <c r="C503" s="4" t="s">
        <v>112</v>
      </c>
      <c r="D503" s="4">
        <v>10</v>
      </c>
      <c r="E503" s="4">
        <f>'Raw Data'!O44</f>
        <v>0</v>
      </c>
      <c r="F503" s="4">
        <f>N('Raw Data'!$E44)</f>
        <v>1</v>
      </c>
      <c r="G503" s="4" t="str">
        <f t="shared" si="7"/>
        <v>Leading</v>
      </c>
    </row>
    <row r="504" spans="1:7" x14ac:dyDescent="0.35">
      <c r="A504" s="4" t="s">
        <v>131</v>
      </c>
      <c r="B504" s="4" t="s">
        <v>128</v>
      </c>
      <c r="C504" s="4" t="s">
        <v>113</v>
      </c>
      <c r="D504" s="4">
        <v>11</v>
      </c>
      <c r="E504" s="4">
        <f>'Raw Data'!P44</f>
        <v>0</v>
      </c>
      <c r="F504" s="4">
        <f>N('Raw Data'!$E44)</f>
        <v>1</v>
      </c>
      <c r="G504" s="4" t="str">
        <f t="shared" si="7"/>
        <v>Leading</v>
      </c>
    </row>
    <row r="505" spans="1:7" x14ac:dyDescent="0.35">
      <c r="A505" s="4" t="s">
        <v>131</v>
      </c>
      <c r="B505" s="4" t="s">
        <v>128</v>
      </c>
      <c r="C505" s="4" t="s">
        <v>114</v>
      </c>
      <c r="D505" s="4">
        <v>12</v>
      </c>
      <c r="E505" s="4">
        <f>'Raw Data'!Q44</f>
        <v>0</v>
      </c>
      <c r="F505" s="4">
        <f>N('Raw Data'!$E44)</f>
        <v>1</v>
      </c>
      <c r="G505" s="4" t="str">
        <f t="shared" si="7"/>
        <v>Leading</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6"/>
  <sheetViews>
    <sheetView zoomScaleNormal="100" workbookViewId="0">
      <selection activeCell="B18" sqref="B18"/>
    </sheetView>
  </sheetViews>
  <sheetFormatPr defaultColWidth="8.7265625" defaultRowHeight="14.5" x14ac:dyDescent="0.35"/>
  <cols>
    <col min="1" max="8" width="20" customWidth="1"/>
  </cols>
  <sheetData>
    <row r="1" spans="1:8" x14ac:dyDescent="0.35">
      <c r="A1" s="3" t="s">
        <v>189</v>
      </c>
      <c r="B1" s="3" t="s">
        <v>190</v>
      </c>
      <c r="C1" s="3" t="s">
        <v>191</v>
      </c>
      <c r="D1" s="3" t="s">
        <v>192</v>
      </c>
      <c r="E1" s="3" t="s">
        <v>193</v>
      </c>
      <c r="F1" s="3" t="s">
        <v>194</v>
      </c>
      <c r="G1" s="3" t="s">
        <v>195</v>
      </c>
      <c r="H1" s="3" t="s">
        <v>55</v>
      </c>
    </row>
    <row r="2" spans="1:8" x14ac:dyDescent="0.35">
      <c r="A2" s="5" t="s">
        <v>196</v>
      </c>
      <c r="B2" s="5" t="s">
        <v>16</v>
      </c>
      <c r="C2" s="5" t="s">
        <v>17</v>
      </c>
      <c r="D2" s="5" t="s">
        <v>23</v>
      </c>
      <c r="E2" s="5" t="s">
        <v>19</v>
      </c>
      <c r="F2" s="5" t="s">
        <v>22</v>
      </c>
      <c r="G2" s="5" t="s">
        <v>197</v>
      </c>
      <c r="H2" s="5" t="s">
        <v>56</v>
      </c>
    </row>
    <row r="3" spans="1:8" x14ac:dyDescent="0.35">
      <c r="A3" s="5" t="s">
        <v>49</v>
      </c>
      <c r="B3" s="5" t="s">
        <v>70</v>
      </c>
      <c r="C3" s="5" t="s">
        <v>31</v>
      </c>
      <c r="D3" s="5" t="s">
        <v>52</v>
      </c>
      <c r="E3" s="5" t="s">
        <v>198</v>
      </c>
      <c r="F3" s="5" t="s">
        <v>25</v>
      </c>
      <c r="G3" s="5" t="s">
        <v>199</v>
      </c>
      <c r="H3" s="5" t="s">
        <v>200</v>
      </c>
    </row>
    <row r="4" spans="1:8" x14ac:dyDescent="0.35">
      <c r="A4" s="5" t="s">
        <v>14</v>
      </c>
      <c r="B4" s="5" t="s">
        <v>21</v>
      </c>
      <c r="C4" s="5" t="s">
        <v>201</v>
      </c>
      <c r="D4" s="5" t="s">
        <v>18</v>
      </c>
      <c r="E4" s="5" t="s">
        <v>53</v>
      </c>
      <c r="F4" s="5" t="s">
        <v>29</v>
      </c>
      <c r="G4" s="5" t="s">
        <v>202</v>
      </c>
      <c r="H4" s="5" t="s">
        <v>203</v>
      </c>
    </row>
    <row r="5" spans="1:8" x14ac:dyDescent="0.35">
      <c r="A5" s="5" t="s">
        <v>204</v>
      </c>
      <c r="B5" s="5" t="s">
        <v>68</v>
      </c>
      <c r="C5" s="5" t="s">
        <v>28</v>
      </c>
      <c r="D5" s="5" t="s">
        <v>69</v>
      </c>
      <c r="E5" s="5" t="s">
        <v>18</v>
      </c>
      <c r="F5" s="5" t="s">
        <v>34</v>
      </c>
      <c r="H5" s="5" t="s">
        <v>205</v>
      </c>
    </row>
    <row r="6" spans="1:8" x14ac:dyDescent="0.35">
      <c r="A6" s="5" t="s">
        <v>206</v>
      </c>
      <c r="B6" s="5" t="s">
        <v>51</v>
      </c>
      <c r="C6" s="5" t="s">
        <v>46</v>
      </c>
      <c r="D6" s="5" t="s">
        <v>67</v>
      </c>
      <c r="F6" s="5" t="s">
        <v>207</v>
      </c>
    </row>
    <row r="7" spans="1:8" x14ac:dyDescent="0.35">
      <c r="A7" s="5" t="s">
        <v>208</v>
      </c>
      <c r="D7" s="5" t="s">
        <v>209</v>
      </c>
      <c r="F7" s="5" t="s">
        <v>210</v>
      </c>
    </row>
    <row r="8" spans="1:8" x14ac:dyDescent="0.35">
      <c r="A8" s="5" t="s">
        <v>211</v>
      </c>
      <c r="F8" s="5" t="s">
        <v>18</v>
      </c>
    </row>
    <row r="9" spans="1:8" x14ac:dyDescent="0.35">
      <c r="A9" s="5" t="s">
        <v>212</v>
      </c>
    </row>
    <row r="10" spans="1:8" x14ac:dyDescent="0.35">
      <c r="A10" s="5" t="s">
        <v>213</v>
      </c>
    </row>
    <row r="11" spans="1:8" x14ac:dyDescent="0.35">
      <c r="A11" s="5" t="s">
        <v>214</v>
      </c>
    </row>
    <row r="12" spans="1:8" x14ac:dyDescent="0.35">
      <c r="A12" s="5" t="s">
        <v>215</v>
      </c>
    </row>
    <row r="13" spans="1:8" x14ac:dyDescent="0.35">
      <c r="A13" s="5" t="s">
        <v>216</v>
      </c>
    </row>
    <row r="14" spans="1:8" x14ac:dyDescent="0.35">
      <c r="A14" s="5" t="s">
        <v>217</v>
      </c>
    </row>
    <row r="15" spans="1:8" x14ac:dyDescent="0.35">
      <c r="A15" s="5" t="s">
        <v>218</v>
      </c>
    </row>
    <row r="16" spans="1:8" x14ac:dyDescent="0.35">
      <c r="A16" s="5" t="s">
        <v>219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 Data</vt:lpstr>
      <vt:lpstr>H&amp;S</vt:lpstr>
      <vt:lpstr>Raw Data</vt:lpstr>
      <vt:lpstr>Accident logs</vt:lpstr>
      <vt:lpstr>Leadership Inspection 2026</vt:lpstr>
      <vt:lpstr>Violations</vt:lpstr>
      <vt:lpstr>KPI Data</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MUDBHARI, Pratyush (BBIAGCJV)</cp:lastModifiedBy>
  <cp:revision>0</cp:revision>
  <dcterms:created xsi:type="dcterms:W3CDTF">2026-06-29T16:29:16Z</dcterms:created>
  <dcterms:modified xsi:type="dcterms:W3CDTF">2026-07-05T09:37:06Z</dcterms:modified>
  <dc:language>en-US</dc:language>
</cp:coreProperties>
</file>